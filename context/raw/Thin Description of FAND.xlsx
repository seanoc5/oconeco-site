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oconeco-my.sharepoint.com/personal/joconeco_oconeco_onmicrosoft_com/Documents/OconEco/claude/BC_Hybrid/"/>
    </mc:Choice>
  </mc:AlternateContent>
  <xr:revisionPtr revIDLastSave="293" documentId="8_{82F664FB-AA25-46C3-91E9-24ED0B7DA0A0}" xr6:coauthVersionLast="47" xr6:coauthVersionMax="47" xr10:uidLastSave="{55FECAF8-F3DD-4006-8E50-27CAAD7C1BAD}"/>
  <bookViews>
    <workbookView xWindow="-98" yWindow="-98" windowWidth="21795" windowHeight="12975" activeTab="2" xr2:uid="{F47BDEAE-7A9B-42A1-A9EF-3AA7DF7C5559}"/>
  </bookViews>
  <sheets>
    <sheet name="Sheet1" sheetId="1" r:id="rId1"/>
    <sheet name="Sheet2" sheetId="2" r:id="rId2"/>
    <sheet name="Sheet3" sheetId="3" r:id="rId3"/>
  </sheets>
  <externalReferences>
    <externalReference r:id="rId4"/>
    <externalReference r:id="rId5"/>
    <externalReference r:id="rId6"/>
    <externalReference r:id="rId7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BX9" i="1" l="1"/>
  <c r="BX11" i="1" s="1"/>
  <c r="BX22" i="1" s="1"/>
  <c r="BW9" i="1"/>
  <c r="BW11" i="1" s="1"/>
  <c r="BW22" i="1" s="1"/>
  <c r="BV9" i="1"/>
  <c r="BV11" i="1" s="1"/>
  <c r="BV22" i="1" s="1"/>
  <c r="BU9" i="1"/>
  <c r="BU11" i="1" s="1"/>
  <c r="BU22" i="1" s="1"/>
  <c r="BT9" i="1"/>
  <c r="BT11" i="1" s="1"/>
  <c r="BT22" i="1" s="1"/>
  <c r="BS9" i="1"/>
  <c r="BS11" i="1" s="1"/>
  <c r="BS22" i="1" s="1"/>
  <c r="BR9" i="1"/>
  <c r="BR11" i="1" s="1"/>
  <c r="BR22" i="1" s="1"/>
  <c r="BQ9" i="1"/>
  <c r="BQ11" i="1" s="1"/>
  <c r="BQ22" i="1" s="1"/>
  <c r="BP9" i="1"/>
  <c r="BP11" i="1" s="1"/>
  <c r="BP22" i="1" s="1"/>
  <c r="BO9" i="1"/>
  <c r="BO11" i="1" s="1"/>
  <c r="BO22" i="1" s="1"/>
  <c r="BN9" i="1"/>
  <c r="BN11" i="1" s="1"/>
  <c r="BN22" i="1" s="1"/>
  <c r="BM9" i="1"/>
  <c r="BM11" i="1" s="1"/>
  <c r="BM22" i="1" s="1"/>
  <c r="BL9" i="1"/>
  <c r="BL11" i="1" s="1"/>
  <c r="BL22" i="1" s="1"/>
  <c r="BK9" i="1"/>
  <c r="BK11" i="1" s="1"/>
  <c r="BK22" i="1" s="1"/>
  <c r="BJ9" i="1"/>
  <c r="BJ11" i="1" s="1"/>
  <c r="BJ22" i="1" s="1"/>
  <c r="BI9" i="1"/>
  <c r="BI11" i="1" s="1"/>
  <c r="BI22" i="1" s="1"/>
  <c r="BH9" i="1"/>
  <c r="BH11" i="1" s="1"/>
  <c r="BH22" i="1" s="1"/>
  <c r="BG9" i="1"/>
  <c r="BG11" i="1" s="1"/>
  <c r="BG22" i="1" s="1"/>
  <c r="BF9" i="1"/>
  <c r="BF11" i="1" s="1"/>
  <c r="BF22" i="1" s="1"/>
  <c r="BE9" i="1"/>
  <c r="BE11" i="1" s="1"/>
  <c r="BE22" i="1" s="1"/>
  <c r="BD9" i="1"/>
  <c r="BD11" i="1" s="1"/>
  <c r="BD22" i="1" s="1"/>
  <c r="BC9" i="1"/>
  <c r="BC11" i="1" s="1"/>
  <c r="BC22" i="1" s="1"/>
  <c r="BB9" i="1"/>
  <c r="BB11" i="1" s="1"/>
  <c r="BB22" i="1" s="1"/>
  <c r="BA9" i="1"/>
  <c r="BA11" i="1" s="1"/>
  <c r="BA22" i="1" s="1"/>
  <c r="AZ9" i="1"/>
  <c r="AZ11" i="1" s="1"/>
  <c r="AZ22" i="1" s="1"/>
  <c r="AY9" i="1"/>
  <c r="AY11" i="1" s="1"/>
  <c r="AY22" i="1" s="1"/>
  <c r="CB12" i="1" l="1"/>
  <c r="CA12" i="1"/>
  <c r="BZ12" i="1"/>
  <c r="BY12" i="1"/>
  <c r="BX12" i="1"/>
  <c r="BW12" i="1"/>
  <c r="BV12" i="1"/>
  <c r="BU12" i="1"/>
  <c r="BT12" i="1"/>
  <c r="BS12" i="1"/>
  <c r="BS15" i="1" s="1"/>
  <c r="BR12" i="1"/>
  <c r="BR15" i="1" s="1"/>
  <c r="BQ12" i="1"/>
  <c r="BQ15" i="1" s="1"/>
  <c r="BP12" i="1"/>
  <c r="BP15" i="1" s="1"/>
  <c r="BO12" i="1"/>
  <c r="BO15" i="1" s="1"/>
  <c r="BN12" i="1"/>
  <c r="BN15" i="1" s="1"/>
  <c r="BM12" i="1"/>
  <c r="BM15" i="1" s="1"/>
  <c r="BL12" i="1"/>
  <c r="BK12" i="1"/>
  <c r="BJ12" i="1"/>
  <c r="BI12" i="1"/>
  <c r="BH12" i="1"/>
  <c r="BG12" i="1"/>
  <c r="BF12" i="1"/>
  <c r="BE12" i="1"/>
  <c r="BD12" i="1"/>
  <c r="BC12" i="1"/>
  <c r="BC15" i="1" s="1"/>
  <c r="BB12" i="1"/>
  <c r="BB15" i="1" s="1"/>
  <c r="BA12" i="1"/>
  <c r="BA15" i="1" s="1"/>
  <c r="AZ12" i="1"/>
  <c r="AZ15" i="1" s="1"/>
  <c r="AY12" i="1"/>
  <c r="AY15" i="1" s="1"/>
  <c r="AX12" i="1"/>
  <c r="AW12" i="1"/>
  <c r="AV12" i="1"/>
  <c r="AU12" i="1"/>
  <c r="AT12" i="1"/>
  <c r="AS12" i="1"/>
  <c r="AR12" i="1"/>
  <c r="AQ12" i="1"/>
  <c r="AP12" i="1"/>
  <c r="AO12" i="1"/>
  <c r="AN12" i="1"/>
  <c r="AM12" i="1"/>
  <c r="AL12" i="1"/>
  <c r="AK12" i="1"/>
  <c r="AJ12" i="1"/>
  <c r="AI12" i="1"/>
  <c r="AH12" i="1"/>
  <c r="AG12" i="1"/>
  <c r="AF12" i="1"/>
  <c r="AE12" i="1"/>
  <c r="AD12" i="1"/>
  <c r="AC12" i="1"/>
  <c r="AB12" i="1"/>
  <c r="AA12" i="1"/>
  <c r="Z12" i="1"/>
  <c r="CB7" i="1"/>
  <c r="CA7" i="1"/>
  <c r="BZ7" i="1"/>
  <c r="BY7" i="1"/>
  <c r="BX7" i="1"/>
  <c r="BW7" i="1"/>
  <c r="BV7" i="1"/>
  <c r="BU7" i="1"/>
  <c r="BT7" i="1"/>
  <c r="BS7" i="1"/>
  <c r="BR7" i="1"/>
  <c r="BQ7" i="1"/>
  <c r="BP7" i="1"/>
  <c r="BO7" i="1"/>
  <c r="BN7" i="1"/>
  <c r="BM7" i="1"/>
  <c r="BL7" i="1"/>
  <c r="BK7" i="1"/>
  <c r="BJ7" i="1"/>
  <c r="BI7" i="1"/>
  <c r="BH7" i="1"/>
  <c r="BG7" i="1"/>
  <c r="BF7" i="1"/>
  <c r="BE7" i="1"/>
  <c r="BD7" i="1"/>
  <c r="BC7" i="1"/>
  <c r="BB7" i="1"/>
  <c r="BA7" i="1"/>
  <c r="AZ7" i="1"/>
  <c r="AY7" i="1"/>
  <c r="AX7" i="1"/>
  <c r="AW7" i="1"/>
  <c r="AV7" i="1"/>
  <c r="AU7" i="1"/>
  <c r="AT7" i="1"/>
  <c r="AS7" i="1"/>
  <c r="AR7" i="1"/>
  <c r="AQ7" i="1"/>
  <c r="AP7" i="1"/>
  <c r="AO7" i="1"/>
  <c r="AN7" i="1"/>
  <c r="AM7" i="1"/>
  <c r="AL7" i="1"/>
  <c r="AK7" i="1"/>
  <c r="AJ7" i="1"/>
  <c r="AI7" i="1"/>
  <c r="AH7" i="1"/>
  <c r="AG7" i="1"/>
  <c r="AF7" i="1"/>
  <c r="AE7" i="1"/>
  <c r="AD7" i="1"/>
  <c r="AC7" i="1"/>
  <c r="AB7" i="1"/>
  <c r="AA7" i="1"/>
  <c r="Z7" i="1"/>
  <c r="A10" i="1"/>
  <c r="A11" i="1"/>
  <c r="A9" i="1"/>
  <c r="A8" i="1"/>
  <c r="A7" i="1"/>
  <c r="A6" i="1"/>
  <c r="A5" i="1"/>
  <c r="A4" i="1"/>
  <c r="BD15" i="1" l="1"/>
  <c r="BE15" i="1"/>
  <c r="BF15" i="1"/>
  <c r="BJ15" i="1"/>
  <c r="BT15" i="1"/>
  <c r="BW15" i="1"/>
  <c r="BH15" i="1"/>
  <c r="BI15" i="1"/>
  <c r="BK15" i="1"/>
  <c r="BU15" i="1"/>
  <c r="BV15" i="1"/>
  <c r="BG15" i="1"/>
  <c r="BX15" i="1"/>
  <c r="BL15" i="1"/>
</calcChain>
</file>

<file path=xl/sharedStrings.xml><?xml version="1.0" encoding="utf-8"?>
<sst xmlns="http://schemas.openxmlformats.org/spreadsheetml/2006/main" count="108" uniqueCount="73">
  <si>
    <t>What Code</t>
  </si>
  <si>
    <t>Unit</t>
  </si>
  <si>
    <t>Source</t>
  </si>
  <si>
    <t>CWoN Code</t>
  </si>
  <si>
    <t>UNITED STATES — COMMONWEALTH BALANCE SHEET</t>
  </si>
  <si>
    <t>Per Capita Accounts (current USD)</t>
  </si>
  <si>
    <t>CW_pc (Commonwealth per capita)</t>
  </si>
  <si>
    <t>USD pc</t>
  </si>
  <si>
    <t>GNI×WPP</t>
  </si>
  <si>
    <t>IC-fitted</t>
  </si>
  <si>
    <t>Computed</t>
  </si>
  <si>
    <t xml:space="preserve">  Intangible Capital per capita (IC = CW - PA - NC)</t>
  </si>
  <si>
    <t>LF_v2</t>
  </si>
  <si>
    <t>Population (millions)</t>
  </si>
  <si>
    <t>millions</t>
  </si>
  <si>
    <t>WPP 2024</t>
  </si>
  <si>
    <t>Substantative Rights</t>
  </si>
  <si>
    <t xml:space="preserve">  Human Resources HR)</t>
  </si>
  <si>
    <t>Key working constructs</t>
  </si>
  <si>
    <t>Atlas GNI pc</t>
  </si>
  <si>
    <t>-Deferred Maintenance of Social Infrastructure</t>
  </si>
  <si>
    <t>-Other Inter- and Intra-Generational liabilities</t>
  </si>
  <si>
    <t>Claims-Rights [Property Rights (GAAP)]</t>
  </si>
  <si>
    <t xml:space="preserve">  Produced Assets (PA) [Depreciable]</t>
  </si>
  <si>
    <t>Description [Are correspomdimg terms in What_Hierarchy]</t>
  </si>
  <si>
    <t xml:space="preserve">  Natural Capital (NC) [Indefinite- &amp; Long-Lived]</t>
  </si>
  <si>
    <t xml:space="preserve">  Claims on Rest of World [Cross-Border Claim-Rights]</t>
  </si>
  <si>
    <t xml:space="preserve">  Social Infrastructure (SI) [ 'Free' Trust Infrastructure]</t>
  </si>
  <si>
    <t xml:space="preserve">  Ecosystem Services ['Free' services of nature]</t>
  </si>
  <si>
    <t>=Net_Worth [misumbered/misplaced in What_Hierarchy]</t>
  </si>
  <si>
    <t>-Foreign Liabilities [Cross-Border Duties]</t>
  </si>
  <si>
    <t>1.2.1</t>
  </si>
  <si>
    <t>1.2.2</t>
  </si>
  <si>
    <t>1.2.3</t>
  </si>
  <si>
    <t>1.2.4</t>
  </si>
  <si>
    <t>1.2 side in revision to this</t>
  </si>
  <si>
    <t>SI%ISC w/CWoN HR</t>
  </si>
  <si>
    <t>1.1.1</t>
  </si>
  <si>
    <t>1.1.1.2</t>
  </si>
  <si>
    <t>1.1.1.3</t>
  </si>
  <si>
    <t>1.1.1.4</t>
  </si>
  <si>
    <t>1.1.2</t>
  </si>
  <si>
    <t>1.1.2.1</t>
  </si>
  <si>
    <t>1.1.2.2</t>
  </si>
  <si>
    <t>1.1.2.3</t>
  </si>
  <si>
    <t>*</t>
  </si>
  <si>
    <r>
      <t>Recognition/</t>
    </r>
    <r>
      <rPr>
        <sz val="11"/>
        <color rgb="FFFF0000"/>
        <rFont val="Aptos Narrow"/>
        <family val="2"/>
        <scheme val="minor"/>
      </rPr>
      <t>Q</t>
    </r>
    <r>
      <rPr>
        <sz val="11"/>
        <color theme="1"/>
        <rFont val="Aptos Narrow"/>
        <family val="2"/>
        <scheme val="minor"/>
      </rPr>
      <t>uantify</t>
    </r>
  </si>
  <si>
    <r>
      <rPr>
        <b/>
        <sz val="11"/>
        <color rgb="FFFF0000"/>
        <rFont val="Aptos Narrow"/>
        <family val="2"/>
        <scheme val="minor"/>
      </rPr>
      <t>P</t>
    </r>
    <r>
      <rPr>
        <sz val="11"/>
        <color theme="1"/>
        <rFont val="Aptos Narrow"/>
        <family val="2"/>
        <scheme val="minor"/>
      </rPr>
      <t>rice/  Monetize</t>
    </r>
  </si>
  <si>
    <t>=</t>
  </si>
  <si>
    <t>Assets</t>
  </si>
  <si>
    <t>Liabilities</t>
  </si>
  <si>
    <t>1. Data excavation, pre-whiten, reconstruct. 2. Preference ordering of extracts from mainstream sources          3. NUSAP Lite</t>
  </si>
  <si>
    <t>1. Identified Ambivalence about 'markets' 2. Flip switches @key decision points</t>
  </si>
  <si>
    <r>
      <rPr>
        <b/>
        <sz val="11"/>
        <color rgb="FFFF0000"/>
        <rFont val="Aptos Narrow"/>
        <family val="2"/>
        <scheme val="minor"/>
      </rPr>
      <t>V</t>
    </r>
    <r>
      <rPr>
        <sz val="11"/>
        <color theme="1"/>
        <rFont val="Aptos Narrow"/>
        <family val="2"/>
        <scheme val="minor"/>
      </rPr>
      <t>alue /        US$ pc</t>
    </r>
  </si>
  <si>
    <t>1. Given FAND default,            2. User defines target &amp; control Where &amp; When                3. Flips switches or doesn't             4. Gets report target-control groups comparison to default</t>
  </si>
  <si>
    <t xml:space="preserve">  Human Resources (HR)</t>
  </si>
  <si>
    <t>1.1.1.1</t>
  </si>
  <si>
    <t>Net Financial Claims among residents, conceptually zero at TL1</t>
  </si>
  <si>
    <t>1.2 in revision to these codes</t>
  </si>
  <si>
    <t>=Net_Worth [misnumbered/misplaced in What_Hierarchy]</t>
  </si>
  <si>
    <t>Figure 1. FAND's Commonwealth Balance Sheet</t>
  </si>
  <si>
    <t>Thin Descriptors</t>
  </si>
  <si>
    <t>[*] Are equivalent terms in What_Hierarchy; V = Q*P</t>
  </si>
  <si>
    <t>Per Capita (current USD)</t>
  </si>
  <si>
    <t>Users Set Relative Price Switches</t>
  </si>
  <si>
    <t>2</t>
  </si>
  <si>
    <t>Wheel of Wealth</t>
  </si>
  <si>
    <t>2.1</t>
  </si>
  <si>
    <t xml:space="preserve">  P≡E≡Y</t>
  </si>
  <si>
    <t>2.1.1</t>
  </si>
  <si>
    <t xml:space="preserve">    Production (P)</t>
  </si>
  <si>
    <t>2.2.1.1</t>
  </si>
  <si>
    <t xml:space="preserve">      Income-earning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</si>
</sst>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0"/>
      <color rgb="FFFFFFFF"/>
      <name val="Arial"/>
      <family val="2"/>
    </font>
    <font>
      <b/>
      <sz val="10"/>
      <name val="Arial"/>
      <family val="2"/>
    </font>
    <font>
      <b/>
      <sz val="9"/>
      <name val="Arial"/>
      <family val="2"/>
    </font>
    <font>
      <sz val="9"/>
      <name val="Arial"/>
      <family val="2"/>
    </font>
    <font>
      <sz val="9"/>
      <name val="Calibri"/>
      <family val="2"/>
    </font>
    <font>
      <b/>
      <sz val="9"/>
      <name val="Calibri"/>
      <family val="2"/>
    </font>
    <font>
      <b/>
      <sz val="9"/>
      <color theme="1"/>
      <name val="Calibri"/>
      <family val="2"/>
    </font>
    <font>
      <sz val="9"/>
      <color theme="1"/>
      <name val="Calibri"/>
      <family val="2"/>
    </font>
    <font>
      <b/>
      <sz val="9"/>
      <color rgb="FFFF0000"/>
      <name val="Arial"/>
      <family val="2"/>
    </font>
    <font>
      <sz val="9"/>
      <color rgb="FFFF0000"/>
      <name val="Aptos Narrow"/>
      <family val="2"/>
      <scheme val="minor"/>
    </font>
    <font>
      <sz val="9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b/>
      <sz val="11"/>
      <color rgb="FFFF0000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b/>
      <sz val="8"/>
      <color rgb="FFFF0000"/>
      <name val="Arial"/>
      <family val="2"/>
    </font>
    <font>
      <sz val="8"/>
      <color rgb="FFFF0000"/>
      <name val="Aptos Narrow"/>
      <family val="2"/>
      <scheme val="minor"/>
    </font>
    <font>
      <strike/>
      <sz val="9"/>
      <name val="Calibri"/>
      <family val="2"/>
    </font>
    <font>
      <strike/>
      <sz val="11"/>
      <color theme="1"/>
      <name val="Aptos Narrow"/>
      <family val="2"/>
      <scheme val="minor"/>
    </font>
    <font>
      <b/>
      <sz val="18"/>
      <color theme="1"/>
      <name val="Aptos Narrow"/>
      <family val="2"/>
      <scheme val="minor"/>
    </font>
    <font>
      <i/>
      <sz val="10"/>
      <name val="Arial"/>
      <family val="2"/>
    </font>
    <font>
      <b/>
      <sz val="10"/>
      <color theme="0"/>
      <name val="Arial"/>
      <family val="2"/>
    </font>
    <font>
      <b/>
      <sz val="12"/>
      <color theme="1"/>
      <name val="Aptos Narrow"/>
      <family val="2"/>
      <scheme val="minor"/>
    </font>
    <font>
      <sz val="10"/>
      <name val="Arial"/>
      <family val="2"/>
    </font>
  </fonts>
  <fills count="13">
    <fill>
      <patternFill patternType="none"/>
    </fill>
    <fill>
      <patternFill patternType="gray125"/>
    </fill>
    <fill>
      <patternFill patternType="solid">
        <fgColor rgb="FF1F4E79"/>
        <bgColor rgb="FF1F4E79"/>
      </patternFill>
    </fill>
    <fill>
      <patternFill patternType="solid">
        <fgColor rgb="FFD6E4F0"/>
        <bgColor rgb="FFD6E4F0"/>
      </patternFill>
    </fill>
    <fill>
      <patternFill patternType="solid">
        <fgColor rgb="FFE8F0FE"/>
        <bgColor rgb="FFE8F0FE"/>
      </patternFill>
    </fill>
    <fill>
      <patternFill patternType="solid">
        <fgColor theme="9" tint="0.79998168889431442"/>
        <bgColor rgb="FFE8F0FE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7" tint="0.79998168889431442"/>
        <bgColor rgb="FFE8F0FE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0" tint="-4.9989318521683403E-2"/>
        <bgColor rgb="FFD6E4F0"/>
      </patternFill>
    </fill>
  </fills>
  <borders count="15">
    <border>
      <left/>
      <right/>
      <top/>
      <bottom/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/>
      <top/>
      <bottom style="thick">
        <color auto="1"/>
      </bottom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/>
      <top/>
      <bottom/>
      <diagonal/>
    </border>
    <border>
      <left style="thick">
        <color auto="1"/>
      </left>
      <right/>
      <top style="thick">
        <color auto="1"/>
      </top>
      <bottom style="medium">
        <color auto="1"/>
      </bottom>
      <diagonal/>
    </border>
    <border>
      <left/>
      <right/>
      <top style="thick">
        <color auto="1"/>
      </top>
      <bottom style="medium">
        <color auto="1"/>
      </bottom>
      <diagonal/>
    </border>
    <border>
      <left/>
      <right style="thick">
        <color auto="1"/>
      </right>
      <top style="thick">
        <color auto="1"/>
      </top>
      <bottom style="medium">
        <color auto="1"/>
      </bottom>
      <diagonal/>
    </border>
    <border>
      <left style="medium">
        <color auto="1"/>
      </left>
      <right/>
      <top/>
      <bottom style="thick">
        <color auto="1"/>
      </bottom>
      <diagonal/>
    </border>
    <border>
      <left style="mediumDashed">
        <color auto="1"/>
      </left>
      <right style="mediumDashed">
        <color auto="1"/>
      </right>
      <top style="mediumDashed">
        <color auto="1"/>
      </top>
      <bottom/>
      <diagonal/>
    </border>
    <border>
      <left style="mediumDashed">
        <color auto="1"/>
      </left>
      <right style="mediumDashed">
        <color auto="1"/>
      </right>
      <top/>
      <bottom/>
      <diagonal/>
    </border>
    <border>
      <left style="mediumDashed">
        <color auto="1"/>
      </left>
      <right style="mediumDashed">
        <color auto="1"/>
      </right>
      <top/>
      <bottom style="mediumDashed">
        <color auto="1"/>
      </bottom>
      <diagonal/>
    </border>
    <border>
      <left/>
      <right/>
      <top/>
      <bottom style="thin">
        <color rgb="FFD9D9D9"/>
      </bottom>
      <diagonal/>
    </border>
  </borders>
  <cellStyleXfs count="1">
    <xf numFmtId="0" fontId="0" fillId="0" borderId="0"/>
  </cellStyleXfs>
  <cellXfs count="72">
    <xf numFmtId="0" fontId="0" fillId="0" borderId="0" xfId="0"/>
    <xf numFmtId="0" fontId="2" fillId="2" borderId="0" xfId="0" applyFont="1" applyFill="1"/>
    <xf numFmtId="1" fontId="2" fillId="2" borderId="0" xfId="0" applyNumberFormat="1" applyFont="1" applyFill="1" applyAlignment="1">
      <alignment horizontal="center"/>
    </xf>
    <xf numFmtId="0" fontId="3" fillId="3" borderId="0" xfId="0" applyFont="1" applyFill="1"/>
    <xf numFmtId="0" fontId="4" fillId="4" borderId="0" xfId="0" applyFont="1" applyFill="1"/>
    <xf numFmtId="3" fontId="5" fillId="4" borderId="0" xfId="0" applyNumberFormat="1" applyFont="1" applyFill="1"/>
    <xf numFmtId="0" fontId="4" fillId="0" borderId="0" xfId="0" applyFont="1"/>
    <xf numFmtId="3" fontId="5" fillId="0" borderId="0" xfId="0" applyNumberFormat="1" applyFont="1"/>
    <xf numFmtId="0" fontId="5" fillId="0" borderId="0" xfId="0" applyFont="1"/>
    <xf numFmtId="0" fontId="4" fillId="5" borderId="0" xfId="0" applyFont="1" applyFill="1"/>
    <xf numFmtId="3" fontId="5" fillId="5" borderId="0" xfId="0" applyNumberFormat="1" applyFont="1" applyFill="1"/>
    <xf numFmtId="0" fontId="0" fillId="6" borderId="0" xfId="0" applyFill="1"/>
    <xf numFmtId="0" fontId="4" fillId="6" borderId="0" xfId="0" applyFont="1" applyFill="1"/>
    <xf numFmtId="3" fontId="5" fillId="6" borderId="0" xfId="0" applyNumberFormat="1" applyFont="1" applyFill="1"/>
    <xf numFmtId="0" fontId="1" fillId="0" borderId="0" xfId="0" applyFont="1"/>
    <xf numFmtId="0" fontId="0" fillId="7" borderId="0" xfId="0" applyFill="1"/>
    <xf numFmtId="0" fontId="1" fillId="7" borderId="0" xfId="0" quotePrefix="1" applyFont="1" applyFill="1"/>
    <xf numFmtId="0" fontId="4" fillId="8" borderId="0" xfId="0" applyFont="1" applyFill="1"/>
    <xf numFmtId="0" fontId="4" fillId="8" borderId="0" xfId="0" quotePrefix="1" applyFont="1" applyFill="1"/>
    <xf numFmtId="3" fontId="5" fillId="8" borderId="0" xfId="0" applyNumberFormat="1" applyFont="1" applyFill="1"/>
    <xf numFmtId="0" fontId="6" fillId="0" borderId="0" xfId="0" applyFont="1"/>
    <xf numFmtId="0" fontId="7" fillId="0" borderId="0" xfId="0" applyFont="1"/>
    <xf numFmtId="0" fontId="7" fillId="8" borderId="0" xfId="0" applyFont="1" applyFill="1"/>
    <xf numFmtId="0" fontId="8" fillId="0" borderId="0" xfId="0" applyFont="1"/>
    <xf numFmtId="0" fontId="9" fillId="7" borderId="0" xfId="0" applyFont="1" applyFill="1"/>
    <xf numFmtId="3" fontId="12" fillId="7" borderId="0" xfId="0" applyNumberFormat="1" applyFont="1" applyFill="1"/>
    <xf numFmtId="9" fontId="0" fillId="0" borderId="0" xfId="0" applyNumberFormat="1"/>
    <xf numFmtId="0" fontId="0" fillId="0" borderId="1" xfId="0" applyBorder="1"/>
    <xf numFmtId="0" fontId="18" fillId="0" borderId="0" xfId="0" applyFont="1"/>
    <xf numFmtId="0" fontId="7" fillId="7" borderId="0" xfId="0" applyFont="1" applyFill="1"/>
    <xf numFmtId="0" fontId="6" fillId="7" borderId="0" xfId="0" applyFont="1" applyFill="1"/>
    <xf numFmtId="0" fontId="7" fillId="0" borderId="4" xfId="0" applyFont="1" applyBorder="1"/>
    <xf numFmtId="0" fontId="0" fillId="0" borderId="4" xfId="0" applyBorder="1"/>
    <xf numFmtId="0" fontId="2" fillId="2" borderId="5" xfId="0" applyFont="1" applyFill="1" applyBorder="1" applyAlignment="1">
      <alignment horizontal="center"/>
    </xf>
    <xf numFmtId="0" fontId="0" fillId="11" borderId="1" xfId="0" applyFill="1" applyBorder="1"/>
    <xf numFmtId="0" fontId="21" fillId="12" borderId="6" xfId="0" applyFont="1" applyFill="1" applyBorder="1" applyAlignment="1">
      <alignment horizontal="center"/>
    </xf>
    <xf numFmtId="0" fontId="1" fillId="0" borderId="6" xfId="0" applyFont="1" applyBorder="1"/>
    <xf numFmtId="0" fontId="19" fillId="0" borderId="6" xfId="0" applyFont="1" applyBorder="1"/>
    <xf numFmtId="0" fontId="5" fillId="0" borderId="6" xfId="0" applyFont="1" applyBorder="1"/>
    <xf numFmtId="0" fontId="4" fillId="7" borderId="6" xfId="0" applyFont="1" applyFill="1" applyBorder="1"/>
    <xf numFmtId="0" fontId="5" fillId="7" borderId="6" xfId="0" applyFont="1" applyFill="1" applyBorder="1"/>
    <xf numFmtId="0" fontId="1" fillId="0" borderId="6" xfId="0" quotePrefix="1" applyFont="1" applyBorder="1"/>
    <xf numFmtId="0" fontId="4" fillId="8" borderId="6" xfId="0" quotePrefix="1" applyFont="1" applyFill="1" applyBorder="1"/>
    <xf numFmtId="0" fontId="4" fillId="0" borderId="10" xfId="0" quotePrefix="1" applyFont="1" applyBorder="1"/>
    <xf numFmtId="0" fontId="0" fillId="9" borderId="12" xfId="0" applyFill="1" applyBorder="1" applyAlignment="1">
      <alignment horizontal="center" vertical="center" wrapText="1"/>
    </xf>
    <xf numFmtId="0" fontId="0" fillId="9" borderId="13" xfId="0" applyFill="1" applyBorder="1" applyAlignment="1">
      <alignment horizontal="center" vertical="center" wrapText="1"/>
    </xf>
    <xf numFmtId="0" fontId="15" fillId="0" borderId="1" xfId="0" applyFont="1" applyBorder="1" applyAlignment="1">
      <alignment horizontal="right" vertical="center" textRotation="90" wrapText="1"/>
    </xf>
    <xf numFmtId="0" fontId="0" fillId="10" borderId="12" xfId="0" applyFill="1" applyBorder="1" applyAlignment="1">
      <alignment horizontal="center" vertical="center" wrapText="1"/>
    </xf>
    <xf numFmtId="0" fontId="0" fillId="10" borderId="13" xfId="0" applyFill="1" applyBorder="1" applyAlignment="1">
      <alignment horizontal="center" vertical="center" wrapText="1"/>
    </xf>
    <xf numFmtId="0" fontId="0" fillId="6" borderId="12" xfId="0" applyFill="1" applyBorder="1" applyAlignment="1">
      <alignment horizontal="center" vertical="center" wrapText="1"/>
    </xf>
    <xf numFmtId="0" fontId="0" fillId="6" borderId="13" xfId="0" applyFill="1" applyBorder="1" applyAlignment="1">
      <alignment horizontal="center" vertical="center" wrapText="1"/>
    </xf>
    <xf numFmtId="0" fontId="20" fillId="0" borderId="7" xfId="0" applyFont="1" applyBorder="1" applyAlignment="1">
      <alignment horizontal="center"/>
    </xf>
    <xf numFmtId="0" fontId="20" fillId="0" borderId="8" xfId="0" applyFont="1" applyBorder="1" applyAlignment="1">
      <alignment horizontal="center"/>
    </xf>
    <xf numFmtId="0" fontId="20" fillId="0" borderId="9" xfId="0" applyFont="1" applyBorder="1" applyAlignment="1">
      <alignment horizontal="center"/>
    </xf>
    <xf numFmtId="0" fontId="22" fillId="11" borderId="6" xfId="0" applyFont="1" applyFill="1" applyBorder="1" applyAlignment="1">
      <alignment horizontal="center"/>
    </xf>
    <xf numFmtId="0" fontId="22" fillId="11" borderId="0" xfId="0" applyFont="1" applyFill="1" applyAlignment="1">
      <alignment horizontal="center"/>
    </xf>
    <xf numFmtId="0" fontId="22" fillId="11" borderId="2" xfId="0" applyFont="1" applyFill="1" applyBorder="1" applyAlignment="1">
      <alignment horizontal="center"/>
    </xf>
    <xf numFmtId="0" fontId="16" fillId="12" borderId="0" xfId="0" applyFont="1" applyFill="1" applyAlignment="1">
      <alignment horizontal="center" vertical="center" wrapText="1"/>
    </xf>
    <xf numFmtId="0" fontId="17" fillId="9" borderId="0" xfId="0" applyFont="1" applyFill="1" applyAlignment="1">
      <alignment horizontal="center" vertical="center" wrapText="1"/>
    </xf>
    <xf numFmtId="0" fontId="0" fillId="9" borderId="11" xfId="0" applyFill="1" applyBorder="1" applyAlignment="1">
      <alignment horizontal="center" vertical="center" wrapText="1"/>
    </xf>
    <xf numFmtId="0" fontId="0" fillId="9" borderId="0" xfId="0" applyFill="1" applyAlignment="1">
      <alignment horizontal="left" vertical="center" wrapText="1"/>
    </xf>
    <xf numFmtId="0" fontId="0" fillId="9" borderId="11" xfId="0" applyFill="1" applyBorder="1" applyAlignment="1">
      <alignment horizontal="center" vertical="top" wrapText="1"/>
    </xf>
    <xf numFmtId="0" fontId="0" fillId="9" borderId="12" xfId="0" applyFill="1" applyBorder="1" applyAlignment="1">
      <alignment horizontal="center" vertical="top" wrapText="1"/>
    </xf>
    <xf numFmtId="0" fontId="0" fillId="9" borderId="0" xfId="0" quotePrefix="1" applyFill="1" applyAlignment="1">
      <alignment horizontal="left" vertical="center" wrapText="1"/>
    </xf>
    <xf numFmtId="0" fontId="10" fillId="3" borderId="0" xfId="0" applyFont="1" applyFill="1" applyAlignment="1">
      <alignment horizontal="center" vertical="center" wrapText="1"/>
    </xf>
    <xf numFmtId="0" fontId="11" fillId="0" borderId="0" xfId="0" applyFont="1" applyAlignment="1">
      <alignment horizontal="center" vertical="center" wrapText="1"/>
    </xf>
    <xf numFmtId="0" fontId="23" fillId="0" borderId="1" xfId="0" applyFont="1" applyBorder="1" applyAlignment="1">
      <alignment horizontal="right" vertical="center" textRotation="88" wrapText="1"/>
    </xf>
    <xf numFmtId="0" fontId="23" fillId="0" borderId="3" xfId="0" applyFont="1" applyBorder="1" applyAlignment="1">
      <alignment horizontal="right" vertical="center" textRotation="88" wrapText="1"/>
    </xf>
    <xf numFmtId="0" fontId="24" fillId="0" borderId="14" xfId="0" applyFont="1" applyBorder="1"/>
    <xf numFmtId="0" fontId="24" fillId="0" borderId="14" xfId="0" applyFont="1" applyBorder="1" applyAlignment="1">
      <alignment indent="1"/>
    </xf>
    <xf numFmtId="0" fontId="24" fillId="0" borderId="14" xfId="0" applyFont="1" applyBorder="1" applyAlignment="1">
      <alignment indent="2"/>
    </xf>
    <xf numFmtId="0" fontId="24" fillId="0" borderId="14" xfId="0" applyFont="1" applyBorder="1" applyAlignment="1">
      <alignment indent="3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4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3.xml"/><Relationship Id="rId11" Type="http://schemas.microsoft.com/office/2017/10/relationships/person" Target="persons/person.xml"/><Relationship Id="rId5" Type="http://schemas.openxmlformats.org/officeDocument/2006/relationships/externalLink" Target="externalLinks/externalLink2.xml"/><Relationship Id="rId10" Type="http://schemas.openxmlformats.org/officeDocument/2006/relationships/sharedStrings" Target="sharedStrings.xml"/><Relationship Id="rId4" Type="http://schemas.openxmlformats.org/officeDocument/2006/relationships/externalLink" Target="externalLinks/externalLink1.xml"/><Relationship Id="rId9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C_Technical/What/FAND_What_Hierarchy_v1.xlsx" TargetMode="External"/><Relationship Id="rId2" Type="http://schemas.openxmlformats.org/officeDocument/2006/relationships/externalLinkPath" Target="https://oconeco-my.sharepoint.com/personal/joconeco_oconeco_onmicrosoft_com/Documents/OconEco/claude/C_Technical/What/FAND_What_Hierarchy_v1.xlsx" TargetMode="External"/><Relationship Id="rId1" Type="http://schemas.openxmlformats.org/officeDocument/2006/relationships/externalLinkPath" Target="/personal/joconeco_oconeco_onmicrosoft_com/Documents/OconEco/claude/C_Technical/What/FAND_What_Hierarchy_v1.xlsx" TargetMode="External"/></Relationships>
</file>

<file path=xl/externalLinks/_rels/externalLink2.xml.rels><?xml version="1.0" encoding="UTF-8" standalone="yes"?>
<Relationships xmlns="http://schemas.openxmlformats.org/package/2006/relationships"><Relationship Id="rId3" Type="http://schemas.openxmlformats.org/officeDocument/2006/relationships/externalLinkPath" Target="../C_Technical/Commonwealth/TL1_National/World_Tables/WT_CrossBorder_ClaimRights_FAND.xlsx" TargetMode="External"/><Relationship Id="rId2" Type="http://schemas.openxmlformats.org/officeDocument/2006/relationships/externalLinkPath" Target="https://oconeco-my.sharepoint.com/personal/joconeco_oconeco_onmicrosoft_com/Documents/OconEco/claude/C_Technical/Commonwealth/TL1_National/World_Tables/WT_CrossBorder_ClaimRights_FAND.xlsx" TargetMode="External"/><Relationship Id="rId1" Type="http://schemas.openxmlformats.org/officeDocument/2006/relationships/externalLinkPath" Target="/personal/joconeco_oconeco_onmicrosoft_com/Documents/OconEco/claude/C_Technical/Commonwealth/TL1_National/World_Tables/WT_CrossBorder_ClaimRights_FAND.xlsx" TargetMode="External"/></Relationships>
</file>

<file path=xl/externalLinks/_rels/externalLink3.xml.rels><?xml version="1.0" encoding="UTF-8" standalone="yes"?>
<Relationships xmlns="http://schemas.openxmlformats.org/package/2006/relationships"><Relationship Id="rId3" Type="http://schemas.openxmlformats.org/officeDocument/2006/relationships/externalLinkPath" Target="../A_Background/Data_Extracts/CWon2024.xlsx" TargetMode="External"/><Relationship Id="rId2" Type="http://schemas.openxmlformats.org/officeDocument/2006/relationships/externalLinkPath" Target="https://oconeco-my.sharepoint.com/personal/joconeco_oconeco_onmicrosoft_com/Documents/OconEco/claude/A_Background/Data_Extracts/CWon2024.xlsx" TargetMode="External"/><Relationship Id="rId1" Type="http://schemas.openxmlformats.org/officeDocument/2006/relationships/externalLinkPath" Target="/personal/joconeco_oconeco_onmicrosoft_com/Documents/OconEco/claude/A_Background/Data_Extracts/CWon2024.xlsx" TargetMode="External"/></Relationships>
</file>

<file path=xl/externalLinks/_rels/externalLink4.xml.rels><?xml version="1.0" encoding="UTF-8" standalone="yes"?>
<Relationships xmlns="http://schemas.openxmlformats.org/package/2006/relationships"><Relationship Id="rId3" Type="http://schemas.openxmlformats.org/officeDocument/2006/relationships/externalLinkPath" Target="../C_Technical/Commonwealth/TL1_National/World_Tables/WT_CrossBorder_Duties_FAND.xlsx" TargetMode="External"/><Relationship Id="rId2" Type="http://schemas.openxmlformats.org/officeDocument/2006/relationships/externalLinkPath" Target="https://oconeco-my.sharepoint.com/personal/joconeco_oconeco_onmicrosoft_com/Documents/OconEco/claude/C_Technical/Commonwealth/TL1_National/World_Tables/WT_CrossBorder_Duties_FAND.xlsx" TargetMode="External"/><Relationship Id="rId1" Type="http://schemas.openxmlformats.org/officeDocument/2006/relationships/externalLinkPath" Target="/personal/joconeco_oconeco_onmicrosoft_com/Documents/OconEco/claude/C_Technical/Commonwealth/TL1_National/World_Tables/WT_CrossBorder_Duties_FAND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Full Hierarchy"/>
      <sheetName val="Harvest_Nodes"/>
      <sheetName val="Telescoped"/>
      <sheetName val="Lookup"/>
      <sheetName val="Summary"/>
      <sheetName val="Activated Nodes"/>
    </sheetNames>
    <sheetDataSet>
      <sheetData sheetId="0">
        <row r="4">
          <cell r="A4" t="str">
            <v>1.1.1</v>
          </cell>
        </row>
        <row r="13">
          <cell r="A13" t="str">
            <v>1.1.1.2</v>
          </cell>
        </row>
        <row r="198">
          <cell r="A198" t="str">
            <v>1.1.1.3</v>
          </cell>
        </row>
        <row r="232">
          <cell r="A232" t="str">
            <v>1.1.1.4</v>
          </cell>
        </row>
        <row r="246">
          <cell r="A246" t="str">
            <v>1.1.2</v>
          </cell>
        </row>
        <row r="247">
          <cell r="A247" t="str">
            <v>1.1.2.1</v>
          </cell>
        </row>
        <row r="248">
          <cell r="A248" t="str">
            <v>1.1.2.2</v>
          </cell>
        </row>
        <row r="274">
          <cell r="A274" t="str">
            <v>1.1.2.3</v>
          </cell>
        </row>
      </sheetData>
      <sheetData sheetId="1"/>
      <sheetData sheetId="2"/>
      <sheetData sheetId="3"/>
      <sheetData sheetId="4"/>
      <sheetData sheetId="5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Methodology"/>
      <sheetName val="V_stock"/>
      <sheetName val="_Pedigree"/>
      <sheetName val="V_Total_USD"/>
    </sheetNames>
    <sheetDataSet>
      <sheetData sheetId="0"/>
      <sheetData sheetId="1"/>
      <sheetData sheetId="2"/>
      <sheetData sheetId="3">
        <row r="230">
          <cell r="W230">
            <v>175639.08551393601</v>
          </cell>
          <cell r="X230">
            <v>202374.23672216231</v>
          </cell>
          <cell r="Y230">
            <v>242377.09156646201</v>
          </cell>
          <cell r="Z230">
            <v>235719.87739393651</v>
          </cell>
          <cell r="AA230">
            <v>227561.61157101259</v>
          </cell>
          <cell r="AB230">
            <v>287810.63434887538</v>
          </cell>
          <cell r="AC230">
            <v>371424</v>
          </cell>
          <cell r="AD230">
            <v>429060</v>
          </cell>
          <cell r="AE230">
            <v>526090</v>
          </cell>
          <cell r="AF230">
            <v>680460</v>
          </cell>
          <cell r="AG230">
            <v>839083</v>
          </cell>
          <cell r="AH230">
            <v>832943</v>
          </cell>
          <cell r="AI230">
            <v>1030358</v>
          </cell>
          <cell r="AJ230">
            <v>1206656</v>
          </cell>
          <cell r="AK230">
            <v>1214478</v>
          </cell>
          <cell r="AL230">
            <v>1392053</v>
          </cell>
          <cell r="AM230">
            <v>1679716</v>
          </cell>
          <cell r="AN230">
            <v>1850216</v>
          </cell>
          <cell r="AO230">
            <v>2098851</v>
          </cell>
          <cell r="AP230">
            <v>2447740</v>
          </cell>
          <cell r="AQ230">
            <v>2415654</v>
          </cell>
          <cell r="AR230">
            <v>2605674</v>
          </cell>
          <cell r="AS230">
            <v>2611230</v>
          </cell>
          <cell r="AT230">
            <v>3234733</v>
          </cell>
          <cell r="AU230">
            <v>3434637</v>
          </cell>
          <cell r="AV230">
            <v>4094375</v>
          </cell>
          <cell r="AW230">
            <v>4791796</v>
          </cell>
          <cell r="AX230">
            <v>5536514</v>
          </cell>
          <cell r="AY230">
            <v>6368620</v>
          </cell>
          <cell r="AZ230">
            <v>7611443</v>
          </cell>
          <cell r="BA230">
            <v>7642326</v>
          </cell>
          <cell r="BB230">
            <v>7170596</v>
          </cell>
          <cell r="BC230">
            <v>7065765</v>
          </cell>
          <cell r="BD230">
            <v>8621552</v>
          </cell>
          <cell r="BE230">
            <v>10589628</v>
          </cell>
          <cell r="BF230">
            <v>13357001</v>
          </cell>
          <cell r="BG230">
            <v>16410511</v>
          </cell>
          <cell r="BH230">
            <v>20705167</v>
          </cell>
          <cell r="BI230">
            <v>19424094</v>
          </cell>
          <cell r="BJ230">
            <v>19427145</v>
          </cell>
          <cell r="BK230">
            <v>21768547</v>
          </cell>
          <cell r="BL230">
            <v>22209642</v>
          </cell>
          <cell r="BM230">
            <v>22510646</v>
          </cell>
          <cell r="BN230">
            <v>24069833</v>
          </cell>
          <cell r="BO230">
            <v>24807116</v>
          </cell>
          <cell r="BP230">
            <v>23301747</v>
          </cell>
          <cell r="BQ230">
            <v>23902370</v>
          </cell>
          <cell r="BR230">
            <v>27582069</v>
          </cell>
          <cell r="BS230">
            <v>25106757</v>
          </cell>
          <cell r="BT230">
            <v>28845177</v>
          </cell>
          <cell r="BU230">
            <v>32023155</v>
          </cell>
          <cell r="BV230">
            <v>34942937</v>
          </cell>
          <cell r="BW230">
            <v>31275713</v>
          </cell>
          <cell r="BX230">
            <v>34022411</v>
          </cell>
          <cell r="BY230">
            <v>35719353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Sheet2"/>
      <sheetName val="Sheet1"/>
      <sheetName val="FA_FL"/>
      <sheetName val="Per Cap Summary"/>
      <sheetName val="US"/>
      <sheetName val="Sheet3"/>
      <sheetName val="HR_PA"/>
      <sheetName val="Big 3"/>
      <sheetName val="Input"/>
    </sheetNames>
    <sheetDataSet>
      <sheetData sheetId="0"/>
      <sheetData sheetId="1"/>
      <sheetData sheetId="2"/>
      <sheetData sheetId="3"/>
      <sheetData sheetId="4"/>
      <sheetData sheetId="5"/>
      <sheetData sheetId="6" refreshError="1"/>
      <sheetData sheetId="7"/>
      <sheetData sheetId="8">
        <row r="21332">
          <cell r="H21332">
            <v>246461.468392115</v>
          </cell>
          <cell r="I21332">
            <v>256704.40585122601</v>
          </cell>
          <cell r="J21332">
            <v>268006.682369477</v>
          </cell>
          <cell r="K21332">
            <v>282853.23979730398</v>
          </cell>
          <cell r="L21332">
            <v>296979.05514035601</v>
          </cell>
          <cell r="M21332">
            <v>311353.132998163</v>
          </cell>
          <cell r="N21332">
            <v>312365.23737976898</v>
          </cell>
          <cell r="O21332">
            <v>310256.06561163801</v>
          </cell>
          <cell r="P21332">
            <v>316578.10181829002</v>
          </cell>
          <cell r="Q21332">
            <v>330435.23526291503</v>
          </cell>
          <cell r="R21332">
            <v>342477.57046497398</v>
          </cell>
          <cell r="S21332">
            <v>358924.10915573</v>
          </cell>
          <cell r="T21332">
            <v>371229.99259545503</v>
          </cell>
          <cell r="U21332">
            <v>358111.15637116099</v>
          </cell>
          <cell r="V21332">
            <v>335988.92277619097</v>
          </cell>
          <cell r="W21332">
            <v>344913.88814697298</v>
          </cell>
          <cell r="X21332">
            <v>361536.215043801</v>
          </cell>
          <cell r="Y21332">
            <v>385552.09361715498</v>
          </cell>
          <cell r="Z21332">
            <v>396568.36528276699</v>
          </cell>
          <cell r="AA21332">
            <v>414944.238682175</v>
          </cell>
          <cell r="AB21332">
            <v>429861.00209953298</v>
          </cell>
          <cell r="AC21332">
            <v>438335.83731756301</v>
          </cell>
          <cell r="AD21332">
            <v>458984.97687995899</v>
          </cell>
          <cell r="AE21332">
            <v>479452.25678475201</v>
          </cell>
          <cell r="AF21332">
            <v>499886.49940794602</v>
          </cell>
          <cell r="AG21332">
            <v>491025.10938752798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Methodology"/>
      <sheetName val="V_stock"/>
      <sheetName val="_Pedigree"/>
      <sheetName val="V_Total_USD"/>
    </sheetNames>
    <sheetDataSet>
      <sheetData sheetId="0"/>
      <sheetData sheetId="1"/>
      <sheetData sheetId="2"/>
      <sheetData sheetId="3">
        <row r="230">
          <cell r="W230">
            <v>123982.30580029861</v>
          </cell>
          <cell r="X230">
            <v>152460.96612962289</v>
          </cell>
          <cell r="Y230">
            <v>183818.6141330172</v>
          </cell>
          <cell r="Z230">
            <v>185730.68524975039</v>
          </cell>
          <cell r="AA230">
            <v>199173.9507277185</v>
          </cell>
          <cell r="AB230">
            <v>232068.0919891728</v>
          </cell>
          <cell r="AC230">
            <v>290885</v>
          </cell>
          <cell r="AD230">
            <v>330475</v>
          </cell>
          <cell r="AE230">
            <v>397817</v>
          </cell>
          <cell r="AF230">
            <v>448210</v>
          </cell>
          <cell r="AG230">
            <v>542221</v>
          </cell>
          <cell r="AH230">
            <v>605951</v>
          </cell>
          <cell r="AI230">
            <v>791992</v>
          </cell>
          <cell r="AJ230">
            <v>945162</v>
          </cell>
          <cell r="AK230">
            <v>1074338</v>
          </cell>
          <cell r="AL230">
            <v>1287772</v>
          </cell>
          <cell r="AM230">
            <v>1570484</v>
          </cell>
          <cell r="AN230">
            <v>1790600</v>
          </cell>
          <cell r="AO230">
            <v>2077372</v>
          </cell>
          <cell r="AP230">
            <v>2481453</v>
          </cell>
          <cell r="AQ230">
            <v>2565177</v>
          </cell>
          <cell r="AR230">
            <v>2848988</v>
          </cell>
          <cell r="AS230">
            <v>3043359</v>
          </cell>
          <cell r="AT230">
            <v>3356505</v>
          </cell>
          <cell r="AU230">
            <v>3544948</v>
          </cell>
          <cell r="AV230">
            <v>4371942</v>
          </cell>
          <cell r="AW230">
            <v>5120102</v>
          </cell>
          <cell r="AX230">
            <v>6324739</v>
          </cell>
          <cell r="AY230">
            <v>7402395</v>
          </cell>
          <cell r="AZ230">
            <v>8613711</v>
          </cell>
          <cell r="BA230">
            <v>9178574</v>
          </cell>
          <cell r="BB230">
            <v>9465063</v>
          </cell>
          <cell r="BC230">
            <v>9476128</v>
          </cell>
          <cell r="BD230">
            <v>10913947</v>
          </cell>
          <cell r="BE230">
            <v>12952395</v>
          </cell>
          <cell r="BF230">
            <v>15214866</v>
          </cell>
          <cell r="BG230">
            <v>18218331</v>
          </cell>
          <cell r="BH230">
            <v>21983996</v>
          </cell>
          <cell r="BI230">
            <v>23418718</v>
          </cell>
          <cell r="BJ230">
            <v>22054085</v>
          </cell>
          <cell r="BK230">
            <v>24279619</v>
          </cell>
          <cell r="BL230">
            <v>26664258</v>
          </cell>
          <cell r="BM230">
            <v>27080174</v>
          </cell>
          <cell r="BN230">
            <v>29513420</v>
          </cell>
          <cell r="BO230">
            <v>31828304</v>
          </cell>
          <cell r="BP230">
            <v>30892217</v>
          </cell>
          <cell r="BQ230">
            <v>32160757</v>
          </cell>
          <cell r="BR230">
            <v>35412791</v>
          </cell>
          <cell r="BS230">
            <v>34902578</v>
          </cell>
          <cell r="BT230">
            <v>40511617</v>
          </cell>
          <cell r="BU230">
            <v>46744159</v>
          </cell>
          <cell r="BV230">
            <v>53775457</v>
          </cell>
          <cell r="BW230">
            <v>47437142</v>
          </cell>
          <cell r="BX230">
            <v>54438935</v>
          </cell>
          <cell r="BY230">
            <v>62258824</v>
          </cell>
        </row>
      </sheetData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20996D-C93E-4CFA-8B07-EE21BBC2A094}">
  <dimension ref="A1:CC22"/>
  <sheetViews>
    <sheetView zoomScale="90" zoomScaleNormal="90" workbookViewId="0">
      <pane xSplit="5" ySplit="1" topLeftCell="F2" activePane="bottomRight" state="frozen"/>
      <selection pane="topRight" activeCell="F1" sqref="F1"/>
      <selection pane="bottomLeft" activeCell="A2" sqref="A2"/>
      <selection pane="bottomRight" sqref="A1:B15"/>
    </sheetView>
  </sheetViews>
  <sheetFormatPr defaultRowHeight="14.25" x14ac:dyDescent="0.45"/>
  <cols>
    <col min="1" max="1" width="12.1328125" customWidth="1"/>
    <col min="2" max="2" width="59.3984375" customWidth="1"/>
    <col min="3" max="3" width="3.86328125" customWidth="1"/>
    <col min="4" max="4" width="3.53125" customWidth="1"/>
    <col min="5" max="5" width="3" customWidth="1"/>
    <col min="6" max="50" width="0" hidden="1" customWidth="1"/>
  </cols>
  <sheetData>
    <row r="1" spans="1:81" x14ac:dyDescent="0.45">
      <c r="A1" s="1" t="s">
        <v>0</v>
      </c>
      <c r="B1" s="1" t="s">
        <v>24</v>
      </c>
      <c r="C1" s="1" t="s">
        <v>1</v>
      </c>
      <c r="D1" s="1" t="s">
        <v>2</v>
      </c>
      <c r="E1" s="1" t="s">
        <v>3</v>
      </c>
      <c r="F1" s="2">
        <v>1950</v>
      </c>
      <c r="G1" s="2">
        <v>1951</v>
      </c>
      <c r="H1" s="2">
        <v>1952</v>
      </c>
      <c r="I1" s="2">
        <v>1953</v>
      </c>
      <c r="J1" s="2">
        <v>1954</v>
      </c>
      <c r="K1" s="2">
        <v>1955</v>
      </c>
      <c r="L1" s="2">
        <v>1956</v>
      </c>
      <c r="M1" s="2">
        <v>1957</v>
      </c>
      <c r="N1" s="2">
        <v>1958</v>
      </c>
      <c r="O1" s="2">
        <v>1959</v>
      </c>
      <c r="P1" s="2">
        <v>1960</v>
      </c>
      <c r="Q1" s="2">
        <v>1961</v>
      </c>
      <c r="R1" s="2">
        <v>1962</v>
      </c>
      <c r="S1" s="2">
        <v>1963</v>
      </c>
      <c r="T1" s="2">
        <v>1964</v>
      </c>
      <c r="U1" s="2">
        <v>1965</v>
      </c>
      <c r="V1" s="2">
        <v>1966</v>
      </c>
      <c r="W1" s="2">
        <v>1967</v>
      </c>
      <c r="X1" s="2">
        <v>1968</v>
      </c>
      <c r="Y1" s="2">
        <v>1969</v>
      </c>
      <c r="Z1" s="2">
        <v>1970</v>
      </c>
      <c r="AA1" s="2">
        <v>1971</v>
      </c>
      <c r="AB1" s="2">
        <v>1972</v>
      </c>
      <c r="AC1" s="2">
        <v>1973</v>
      </c>
      <c r="AD1" s="2">
        <v>1974</v>
      </c>
      <c r="AE1" s="2">
        <v>1975</v>
      </c>
      <c r="AF1" s="2">
        <v>1976</v>
      </c>
      <c r="AG1" s="2">
        <v>1977</v>
      </c>
      <c r="AH1" s="2">
        <v>1978</v>
      </c>
      <c r="AI1" s="2">
        <v>1979</v>
      </c>
      <c r="AJ1" s="2">
        <v>1980</v>
      </c>
      <c r="AK1" s="2">
        <v>1981</v>
      </c>
      <c r="AL1" s="2">
        <v>1982</v>
      </c>
      <c r="AM1" s="2">
        <v>1983</v>
      </c>
      <c r="AN1" s="2">
        <v>1984</v>
      </c>
      <c r="AO1" s="2">
        <v>1985</v>
      </c>
      <c r="AP1" s="2">
        <v>1986</v>
      </c>
      <c r="AQ1" s="2">
        <v>1987</v>
      </c>
      <c r="AR1" s="2">
        <v>1988</v>
      </c>
      <c r="AS1" s="2">
        <v>1989</v>
      </c>
      <c r="AT1" s="2">
        <v>1990</v>
      </c>
      <c r="AU1" s="2">
        <v>1991</v>
      </c>
      <c r="AV1" s="2">
        <v>1992</v>
      </c>
      <c r="AW1" s="2">
        <v>1993</v>
      </c>
      <c r="AX1" s="2">
        <v>1994</v>
      </c>
      <c r="AY1" s="2">
        <v>1995</v>
      </c>
      <c r="AZ1" s="2">
        <v>1996</v>
      </c>
      <c r="BA1" s="2">
        <v>1997</v>
      </c>
      <c r="BB1" s="2">
        <v>1998</v>
      </c>
      <c r="BC1" s="2">
        <v>1999</v>
      </c>
      <c r="BD1" s="2">
        <v>2000</v>
      </c>
      <c r="BE1" s="2">
        <v>2001</v>
      </c>
      <c r="BF1" s="2">
        <v>2002</v>
      </c>
      <c r="BG1" s="2">
        <v>2003</v>
      </c>
      <c r="BH1" s="2">
        <v>2004</v>
      </c>
      <c r="BI1" s="2">
        <v>2005</v>
      </c>
      <c r="BJ1" s="2">
        <v>2006</v>
      </c>
      <c r="BK1" s="2">
        <v>2007</v>
      </c>
      <c r="BL1" s="2">
        <v>2008</v>
      </c>
      <c r="BM1" s="2">
        <v>2009</v>
      </c>
      <c r="BN1" s="2">
        <v>2010</v>
      </c>
      <c r="BO1" s="2">
        <v>2011</v>
      </c>
      <c r="BP1" s="2">
        <v>2012</v>
      </c>
      <c r="BQ1" s="2">
        <v>2013</v>
      </c>
      <c r="BR1" s="2">
        <v>2014</v>
      </c>
      <c r="BS1" s="2">
        <v>2015</v>
      </c>
      <c r="BT1" s="2">
        <v>2016</v>
      </c>
      <c r="BU1" s="2">
        <v>2017</v>
      </c>
      <c r="BV1" s="2">
        <v>2018</v>
      </c>
      <c r="BW1" s="2">
        <v>2019</v>
      </c>
      <c r="BX1" s="2">
        <v>2020</v>
      </c>
      <c r="BY1" s="2">
        <v>2021</v>
      </c>
      <c r="BZ1" s="2">
        <v>2022</v>
      </c>
      <c r="CA1" s="2">
        <v>2023</v>
      </c>
      <c r="CB1" s="2">
        <v>2024</v>
      </c>
      <c r="CC1" s="2">
        <v>2025</v>
      </c>
    </row>
    <row r="2" spans="1:81" x14ac:dyDescent="0.45">
      <c r="A2" s="64" t="s">
        <v>35</v>
      </c>
      <c r="B2" s="3" t="s">
        <v>4</v>
      </c>
      <c r="C2" s="3"/>
      <c r="D2" s="3"/>
      <c r="E2" s="3"/>
    </row>
    <row r="3" spans="1:81" x14ac:dyDescent="0.45">
      <c r="A3" s="65"/>
      <c r="B3" s="3" t="s">
        <v>5</v>
      </c>
      <c r="C3" s="3"/>
      <c r="D3" s="3"/>
      <c r="E3" s="3"/>
    </row>
    <row r="4" spans="1:81" x14ac:dyDescent="0.45">
      <c r="A4" s="23" t="str">
        <f>'[1]Full Hierarchy'!$A$4</f>
        <v>1.1.1</v>
      </c>
      <c r="B4" s="14" t="s">
        <v>22</v>
      </c>
    </row>
    <row r="5" spans="1:81" ht="13.9" customHeight="1" x14ac:dyDescent="0.45">
      <c r="A5" s="20" t="str">
        <f>'[1]Full Hierarchy'!$A$13</f>
        <v>1.1.1.2</v>
      </c>
      <c r="B5" s="8" t="s">
        <v>23</v>
      </c>
      <c r="C5" s="6" t="s">
        <v>7</v>
      </c>
      <c r="D5" s="6"/>
      <c r="E5" s="6"/>
      <c r="F5" s="7">
        <v>5813</v>
      </c>
      <c r="G5" s="7">
        <v>6473</v>
      </c>
      <c r="H5" s="7">
        <v>6759</v>
      </c>
      <c r="I5" s="7">
        <v>6922</v>
      </c>
      <c r="J5" s="7">
        <v>7021</v>
      </c>
      <c r="K5" s="7">
        <v>7296</v>
      </c>
      <c r="L5" s="7">
        <v>7864</v>
      </c>
      <c r="M5" s="7">
        <v>8206</v>
      </c>
      <c r="N5" s="7">
        <v>8262</v>
      </c>
      <c r="O5" s="7">
        <v>8456</v>
      </c>
      <c r="P5" s="7">
        <v>8592</v>
      </c>
      <c r="Q5" s="7">
        <v>8722</v>
      </c>
      <c r="R5" s="7">
        <v>8936</v>
      </c>
      <c r="S5" s="7">
        <v>9128</v>
      </c>
      <c r="T5" s="7">
        <v>9422</v>
      </c>
      <c r="U5" s="7">
        <v>9895</v>
      </c>
      <c r="V5" s="7">
        <v>10499</v>
      </c>
      <c r="W5" s="7">
        <v>11101</v>
      </c>
      <c r="X5" s="7">
        <v>11924</v>
      </c>
      <c r="Y5" s="7">
        <v>12987</v>
      </c>
      <c r="Z5" s="7">
        <v>13914</v>
      </c>
      <c r="AA5" s="7">
        <v>14238</v>
      </c>
      <c r="AB5" s="7">
        <v>15633</v>
      </c>
      <c r="AC5" s="7">
        <v>17269</v>
      </c>
      <c r="AD5" s="7">
        <v>19726</v>
      </c>
      <c r="AE5" s="7">
        <v>22185</v>
      </c>
      <c r="AF5" s="7">
        <v>23821</v>
      </c>
      <c r="AG5" s="7">
        <v>26416</v>
      </c>
      <c r="AH5" s="7">
        <v>29802</v>
      </c>
      <c r="AI5" s="7">
        <v>33833</v>
      </c>
      <c r="AJ5" s="7">
        <v>38054</v>
      </c>
      <c r="AK5" s="7">
        <v>42699</v>
      </c>
      <c r="AL5" s="7">
        <v>45974</v>
      </c>
      <c r="AM5" s="7">
        <v>47012</v>
      </c>
      <c r="AN5" s="7">
        <v>49042</v>
      </c>
      <c r="AO5" s="7">
        <v>51346</v>
      </c>
      <c r="AP5" s="7">
        <v>54016</v>
      </c>
      <c r="AQ5" s="7">
        <v>56686</v>
      </c>
      <c r="AR5" s="7">
        <v>59799</v>
      </c>
      <c r="AS5" s="7">
        <v>62974</v>
      </c>
      <c r="AT5" s="7">
        <v>65663</v>
      </c>
      <c r="AU5" s="7">
        <v>67352</v>
      </c>
      <c r="AV5" s="7">
        <v>68543</v>
      </c>
      <c r="AW5" s="7">
        <v>71397</v>
      </c>
      <c r="AX5" s="7">
        <v>74580</v>
      </c>
      <c r="AY5" s="7">
        <v>78311</v>
      </c>
      <c r="AZ5" s="7">
        <v>81248</v>
      </c>
      <c r="BA5" s="7">
        <v>84737</v>
      </c>
      <c r="BB5" s="7">
        <v>88699</v>
      </c>
      <c r="BC5" s="7">
        <v>93321</v>
      </c>
      <c r="BD5" s="7">
        <v>98920</v>
      </c>
      <c r="BE5" s="7">
        <v>104505</v>
      </c>
      <c r="BF5" s="7">
        <v>108498</v>
      </c>
      <c r="BG5" s="7">
        <v>113685</v>
      </c>
      <c r="BH5" s="7">
        <v>122241</v>
      </c>
      <c r="BI5" s="7">
        <v>134032</v>
      </c>
      <c r="BJ5" s="7">
        <v>145519</v>
      </c>
      <c r="BK5" s="7">
        <v>152206</v>
      </c>
      <c r="BL5" s="7">
        <v>155801</v>
      </c>
      <c r="BM5" s="7">
        <v>153313</v>
      </c>
      <c r="BN5" s="7">
        <v>152445</v>
      </c>
      <c r="BO5" s="7">
        <v>155377</v>
      </c>
      <c r="BP5" s="7">
        <v>159646</v>
      </c>
      <c r="BQ5" s="7">
        <v>165035</v>
      </c>
      <c r="BR5" s="7">
        <v>173432</v>
      </c>
      <c r="BS5" s="7">
        <v>178013</v>
      </c>
      <c r="BT5" s="7">
        <v>182115</v>
      </c>
      <c r="BU5" s="7">
        <v>189219</v>
      </c>
      <c r="BV5" s="7">
        <v>197568</v>
      </c>
      <c r="BW5" s="7">
        <v>205241</v>
      </c>
      <c r="BX5" s="7">
        <v>212003</v>
      </c>
      <c r="BY5" s="7">
        <v>229811</v>
      </c>
      <c r="BZ5" s="7">
        <v>262746</v>
      </c>
      <c r="CA5" s="7">
        <v>275690</v>
      </c>
      <c r="CB5" s="7">
        <v>288728</v>
      </c>
      <c r="CC5" s="7">
        <v>322691</v>
      </c>
    </row>
    <row r="6" spans="1:81" x14ac:dyDescent="0.45">
      <c r="A6" s="20" t="str">
        <f>'[1]Full Hierarchy'!$A$198</f>
        <v>1.1.1.3</v>
      </c>
      <c r="B6" s="8" t="s">
        <v>25</v>
      </c>
      <c r="C6" s="6" t="s">
        <v>7</v>
      </c>
      <c r="D6" s="6" t="s">
        <v>10</v>
      </c>
      <c r="E6" s="6"/>
      <c r="F6" s="7">
        <v>577.50967686169565</v>
      </c>
      <c r="G6" s="7">
        <v>629.7451133113484</v>
      </c>
      <c r="H6" s="7">
        <v>629.13158340267125</v>
      </c>
      <c r="I6" s="7">
        <v>645.78157933470311</v>
      </c>
      <c r="J6" s="7">
        <v>619.28572686528548</v>
      </c>
      <c r="K6" s="7">
        <v>658.68885055521275</v>
      </c>
      <c r="L6" s="7">
        <v>679.59086393755388</v>
      </c>
      <c r="M6" s="7">
        <v>683.06751850957403</v>
      </c>
      <c r="N6" s="7">
        <v>657.55884340036687</v>
      </c>
      <c r="O6" s="7">
        <v>690.44261186765141</v>
      </c>
      <c r="P6" s="7">
        <v>697.15388148122861</v>
      </c>
      <c r="Q6" s="7">
        <v>898.93790231449202</v>
      </c>
      <c r="R6" s="7">
        <v>980.33362998270536</v>
      </c>
      <c r="S6" s="7">
        <v>929.04521856965778</v>
      </c>
      <c r="T6" s="7">
        <v>965.10272830733209</v>
      </c>
      <c r="U6" s="7">
        <v>1060.714052484791</v>
      </c>
      <c r="V6" s="7">
        <v>1088.627682642046</v>
      </c>
      <c r="W6" s="7">
        <v>1100.689020462233</v>
      </c>
      <c r="X6" s="7">
        <v>1182.0621124766819</v>
      </c>
      <c r="Y6" s="7">
        <v>1263.3518718374789</v>
      </c>
      <c r="Z6" s="7">
        <v>1312.6921473262501</v>
      </c>
      <c r="AA6" s="7">
        <v>1352.119977367965</v>
      </c>
      <c r="AB6" s="7">
        <v>1455.0494139277359</v>
      </c>
      <c r="AC6" s="7">
        <v>1887.5759846559349</v>
      </c>
      <c r="AD6" s="7">
        <v>2324.8394775891888</v>
      </c>
      <c r="AE6" s="7">
        <v>2346.9982526131921</v>
      </c>
      <c r="AF6" s="7">
        <v>2530.779410650629</v>
      </c>
      <c r="AG6" s="7">
        <v>2732.221918755075</v>
      </c>
      <c r="AH6" s="7">
        <v>3043.3447337244079</v>
      </c>
      <c r="AI6" s="7">
        <v>4111.5583866394127</v>
      </c>
      <c r="AJ6" s="7">
        <v>4402.3470922926526</v>
      </c>
      <c r="AK6" s="7">
        <v>4366.7586956259784</v>
      </c>
      <c r="AL6" s="7">
        <v>4124.4097894908336</v>
      </c>
      <c r="AM6" s="7">
        <v>3926.8805880589798</v>
      </c>
      <c r="AN6" s="7">
        <v>4189.9738985561198</v>
      </c>
      <c r="AO6" s="7">
        <v>4147.7164945857858</v>
      </c>
      <c r="AP6" s="7">
        <v>3864.3127254223091</v>
      </c>
      <c r="AQ6" s="7">
        <v>4302.8506695147553</v>
      </c>
      <c r="AR6" s="7">
        <v>4607.7591021257967</v>
      </c>
      <c r="AS6" s="7">
        <v>4810.1625128986516</v>
      </c>
      <c r="AT6" s="7">
        <v>5602.9998351029262</v>
      </c>
      <c r="AU6" s="7">
        <v>4657.7737152038571</v>
      </c>
      <c r="AV6" s="7">
        <v>5009.7912787104924</v>
      </c>
      <c r="AW6" s="7">
        <v>5626.0912692954253</v>
      </c>
      <c r="AX6" s="7">
        <v>5654.6367776017923</v>
      </c>
      <c r="AY6" s="7">
        <v>6030.011995248391</v>
      </c>
      <c r="AZ6" s="7">
        <v>6090.7575526764331</v>
      </c>
      <c r="BA6" s="7">
        <v>5500.0774927612038</v>
      </c>
      <c r="BB6" s="7">
        <v>4241.4130092959222</v>
      </c>
      <c r="BC6" s="7">
        <v>4229.6359394629226</v>
      </c>
      <c r="BD6" s="7">
        <v>8469.3189072391579</v>
      </c>
      <c r="BE6" s="7">
        <v>4463.3776956797192</v>
      </c>
      <c r="BF6" s="7">
        <v>4396.0007177051993</v>
      </c>
      <c r="BG6" s="7">
        <v>4962.3286939640648</v>
      </c>
      <c r="BH6" s="7">
        <v>5797.6465354093343</v>
      </c>
      <c r="BI6" s="7">
        <v>6746.3798280730534</v>
      </c>
      <c r="BJ6" s="7">
        <v>6388.7841041565916</v>
      </c>
      <c r="BK6" s="7">
        <v>7482.7645400828214</v>
      </c>
      <c r="BL6" s="7">
        <v>8273.8960355483996</v>
      </c>
      <c r="BM6" s="7">
        <v>6008.2903837972099</v>
      </c>
      <c r="BN6" s="7">
        <v>11029.512245397509</v>
      </c>
      <c r="BO6" s="7">
        <v>8462.9233843694165</v>
      </c>
      <c r="BP6" s="7">
        <v>8185.8557096984068</v>
      </c>
      <c r="BQ6" s="7">
        <v>8171.8279625668192</v>
      </c>
      <c r="BR6" s="7">
        <v>8113.9251027614973</v>
      </c>
      <c r="BS6" s="7">
        <v>9801.985626527874</v>
      </c>
      <c r="BT6" s="7">
        <v>6177.3936389744849</v>
      </c>
      <c r="BU6" s="7">
        <v>6868.5405890490156</v>
      </c>
      <c r="BV6" s="7">
        <v>7212.276039998228</v>
      </c>
      <c r="BW6" s="7">
        <v>6793.0456012099776</v>
      </c>
      <c r="BX6" s="7">
        <v>11458.75182370318</v>
      </c>
      <c r="BY6" s="7">
        <v>12200.82379045264</v>
      </c>
      <c r="BZ6" s="7">
        <v>14081.319648688141</v>
      </c>
      <c r="CA6" s="7">
        <v>12427.81271588147</v>
      </c>
      <c r="CB6" s="7">
        <v>7756.8663672597686</v>
      </c>
      <c r="CC6" s="7">
        <v>6207.9591643447466</v>
      </c>
    </row>
    <row r="7" spans="1:81" x14ac:dyDescent="0.45">
      <c r="A7" s="20" t="str">
        <f>'[1]Full Hierarchy'!$A$232</f>
        <v>1.1.1.4</v>
      </c>
      <c r="B7" s="8" t="s">
        <v>26</v>
      </c>
      <c r="C7" s="8"/>
      <c r="D7" s="8"/>
      <c r="E7" s="8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>
        <f>[2]V_Total_USD!W230/Z20</f>
        <v>845.24629432444431</v>
      </c>
      <c r="AA7" s="7">
        <f>[2]V_Total_USD!X230/AA20</f>
        <v>961.73391944900379</v>
      </c>
      <c r="AB7" s="7">
        <f>[2]V_Total_USD!Y230/AB20</f>
        <v>1138.7622726015586</v>
      </c>
      <c r="AC7" s="7">
        <f>[2]V_Total_USD!Z230/AC20</f>
        <v>1096.3381175950146</v>
      </c>
      <c r="AD7" s="7">
        <f>[2]V_Total_USD!AA230/AD20</f>
        <v>1048.30157205455</v>
      </c>
      <c r="AE7" s="7">
        <f>[2]V_Total_USD!AB230/AE20</f>
        <v>1313.4283413283711</v>
      </c>
      <c r="AF7" s="7">
        <f>[2]V_Total_USD!AC230/AF20</f>
        <v>1679.3692029490196</v>
      </c>
      <c r="AG7" s="7">
        <f>[2]V_Total_USD!AD230/AG20</f>
        <v>1921.8002175307997</v>
      </c>
      <c r="AH7" s="7">
        <f>[2]V_Total_USD!AE230/AH20</f>
        <v>2334.0688207838348</v>
      </c>
      <c r="AI7" s="7">
        <f>[2]V_Total_USD!AF230/AI20</f>
        <v>2990.0461400907275</v>
      </c>
      <c r="AJ7" s="7">
        <f>[2]V_Total_USD!AG230/AJ20</f>
        <v>3650.4303046583127</v>
      </c>
      <c r="AK7" s="7">
        <f>[2]V_Total_USD!AH230/AK20</f>
        <v>3587.1541678644853</v>
      </c>
      <c r="AL7" s="7">
        <f>[2]V_Total_USD!AI230/AL20</f>
        <v>4392.2932802784853</v>
      </c>
      <c r="AM7" s="7">
        <f>[2]V_Total_USD!AJ230/AM20</f>
        <v>5091.6684594913295</v>
      </c>
      <c r="AN7" s="7">
        <f>[2]V_Total_USD!AK230/AN20</f>
        <v>5073.9831584366775</v>
      </c>
      <c r="AO7" s="7">
        <f>[2]V_Total_USD!AL230/AO20</f>
        <v>5759.6526359967565</v>
      </c>
      <c r="AP7" s="7">
        <f>[2]V_Total_USD!AM230/AP20</f>
        <v>6885.385463803429</v>
      </c>
      <c r="AQ7" s="7">
        <f>[2]V_Total_USD!AN230/AQ20</f>
        <v>7516.2751726062406</v>
      </c>
      <c r="AR7" s="7">
        <f>[2]V_Total_USD!AO230/AR20</f>
        <v>8449.7107982832131</v>
      </c>
      <c r="AS7" s="7">
        <f>[2]V_Total_USD!AP230/AS20</f>
        <v>9764.5935273822397</v>
      </c>
      <c r="AT7" s="7">
        <f>[2]V_Total_USD!AQ230/AT20</f>
        <v>9533.9689325777526</v>
      </c>
      <c r="AU7" s="7">
        <f>[2]V_Total_USD!AR230/AU20</f>
        <v>10159.705025225569</v>
      </c>
      <c r="AV7" s="7">
        <f>[2]V_Total_USD!AS230/AV20</f>
        <v>10058.433949371502</v>
      </c>
      <c r="AW7" s="7">
        <f>[2]V_Total_USD!AT230/AW20</f>
        <v>12316.541161540978</v>
      </c>
      <c r="AX7" s="7">
        <f>[2]V_Total_USD!AU230/AX20</f>
        <v>12937.713374764258</v>
      </c>
      <c r="AY7" s="7">
        <f>[2]V_Total_USD!AV230/AY20</f>
        <v>15265.796205607337</v>
      </c>
      <c r="AZ7" s="7">
        <f>[2]V_Total_USD!AW230/AZ20</f>
        <v>17690.997884757704</v>
      </c>
      <c r="BA7" s="7">
        <f>[2]V_Total_USD!AX230/BA20</f>
        <v>20245.56345506772</v>
      </c>
      <c r="BB7" s="7">
        <f>[2]V_Total_USD!AY230/BB20</f>
        <v>23064.737779633731</v>
      </c>
      <c r="BC7" s="7">
        <f>[2]V_Total_USD!AZ230/BC20</f>
        <v>27302.149634161011</v>
      </c>
      <c r="BD7" s="7">
        <f>[2]V_Total_USD!BA230/BD20</f>
        <v>27150.113174852679</v>
      </c>
      <c r="BE7" s="7">
        <f>[2]V_Total_USD!BB230/BE20</f>
        <v>25223.741094633482</v>
      </c>
      <c r="BF7" s="7">
        <f>[2]V_Total_USD!BC230/BF20</f>
        <v>24612.157699804568</v>
      </c>
      <c r="BG7" s="7">
        <f>[2]V_Total_USD!BD230/BG20</f>
        <v>29738.913865702467</v>
      </c>
      <c r="BH7" s="7">
        <f>[2]V_Total_USD!BE230/BH20</f>
        <v>36168.460347473265</v>
      </c>
      <c r="BI7" s="7">
        <f>[2]V_Total_USD!BF230/BI20</f>
        <v>45168.239225720878</v>
      </c>
      <c r="BJ7" s="7">
        <f>[2]V_Total_USD!BG230/BJ20</f>
        <v>54934.219834904245</v>
      </c>
      <c r="BK7" s="7">
        <f>[2]V_Total_USD!BH230/BK20</f>
        <v>68595.537866269369</v>
      </c>
      <c r="BL7" s="7">
        <f>[2]V_Total_USD!BI230/BL20</f>
        <v>63691.749426151167</v>
      </c>
      <c r="BM7" s="7">
        <f>[2]V_Total_USD!BJ230/BM20</f>
        <v>63070.343235826542</v>
      </c>
      <c r="BN7" s="7">
        <f>[2]V_Total_USD!BK230/BN20</f>
        <v>69981.198972721875</v>
      </c>
      <c r="BO7" s="7">
        <f>[2]V_Total_USD!BL230/BO20</f>
        <v>70707.682096116914</v>
      </c>
      <c r="BP7" s="7">
        <f>[2]V_Total_USD!BM230/BP20</f>
        <v>70985.670294939962</v>
      </c>
      <c r="BQ7" s="7">
        <f>[2]V_Total_USD!BN230/BQ20</f>
        <v>75192.202458899555</v>
      </c>
      <c r="BR7" s="7">
        <f>[2]V_Total_USD!BO230/BR20</f>
        <v>76774.79242964038</v>
      </c>
      <c r="BS7" s="7">
        <f>[2]V_Total_USD!BP230/BS20</f>
        <v>71450.027060282126</v>
      </c>
      <c r="BT7" s="7">
        <f>[2]V_Total_USD!BQ230/BT20</f>
        <v>72611.98020223176</v>
      </c>
      <c r="BU7" s="7">
        <f>[2]V_Total_USD!BR230/BU20</f>
        <v>83027.339356147713</v>
      </c>
      <c r="BV7" s="7">
        <f>[2]V_Total_USD!BS230/BV20</f>
        <v>74932.90590492131</v>
      </c>
      <c r="BW7" s="7">
        <f>[2]V_Total_USD!BT230/BW20</f>
        <v>85393.798873005042</v>
      </c>
      <c r="BX7" s="7">
        <f>[2]V_Total_USD!BU230/BX20</f>
        <v>94342.203086180642</v>
      </c>
      <c r="BY7" s="7">
        <f>[2]V_Total_USD!BV230/BY20</f>
        <v>102724.56777368837</v>
      </c>
      <c r="BZ7" s="7">
        <f>[2]V_Total_USD!BW230/BZ20</f>
        <v>91574.217598754738</v>
      </c>
      <c r="CA7" s="7">
        <f>[2]V_Total_USD!BX230/CA20</f>
        <v>99052.855991211181</v>
      </c>
      <c r="CB7" s="7">
        <f>[2]V_Total_USD!BY230/CB20</f>
        <v>103406.50082763899</v>
      </c>
      <c r="CC7" s="7"/>
    </row>
    <row r="8" spans="1:81" ht="15" customHeight="1" x14ac:dyDescent="0.45">
      <c r="A8" s="21" t="str">
        <f>'[1]Full Hierarchy'!$A$246</f>
        <v>1.1.2</v>
      </c>
      <c r="B8" s="6" t="s">
        <v>16</v>
      </c>
      <c r="C8" s="6"/>
      <c r="D8" s="6"/>
      <c r="E8" s="6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7"/>
      <c r="AV8" s="7"/>
      <c r="AW8" s="7"/>
      <c r="AX8" s="7"/>
      <c r="AY8" s="7"/>
      <c r="AZ8" s="7"/>
      <c r="BA8" s="7"/>
      <c r="BB8" s="7"/>
      <c r="BC8" s="7"/>
      <c r="BD8" s="7"/>
      <c r="BE8" s="7"/>
      <c r="BF8" s="7"/>
      <c r="BG8" s="7"/>
      <c r="BH8" s="7"/>
      <c r="BI8" s="7"/>
      <c r="BJ8" s="7"/>
      <c r="BK8" s="7"/>
      <c r="BL8" s="7"/>
      <c r="BM8" s="7"/>
      <c r="BN8" s="7"/>
      <c r="BO8" s="7"/>
      <c r="BP8" s="7"/>
      <c r="BQ8" s="7"/>
      <c r="BR8" s="7"/>
      <c r="BS8" s="7"/>
      <c r="BT8" s="7"/>
      <c r="BU8" s="7"/>
      <c r="BV8" s="7"/>
      <c r="BW8" s="7"/>
      <c r="BX8" s="7"/>
      <c r="BY8" s="7"/>
      <c r="BZ8" s="7"/>
      <c r="CA8" s="7"/>
      <c r="CB8" s="7"/>
      <c r="CC8" s="7"/>
    </row>
    <row r="9" spans="1:81" x14ac:dyDescent="0.45">
      <c r="A9" s="20" t="str">
        <f>'[1]Full Hierarchy'!$A$247</f>
        <v>1.1.2.1</v>
      </c>
      <c r="B9" s="8" t="s">
        <v>17</v>
      </c>
      <c r="C9" s="6" t="s">
        <v>7</v>
      </c>
      <c r="D9" s="6" t="s">
        <v>9</v>
      </c>
      <c r="E9" s="6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Y9" s="7">
        <f>[3]Input!H21332</f>
        <v>246461.468392115</v>
      </c>
      <c r="AZ9" s="7">
        <f>[3]Input!I21332</f>
        <v>256704.40585122601</v>
      </c>
      <c r="BA9" s="7">
        <f>[3]Input!J21332</f>
        <v>268006.682369477</v>
      </c>
      <c r="BB9" s="7">
        <f>[3]Input!K21332</f>
        <v>282853.23979730398</v>
      </c>
      <c r="BC9" s="7">
        <f>[3]Input!L21332</f>
        <v>296979.05514035601</v>
      </c>
      <c r="BD9" s="7">
        <f>[3]Input!M21332</f>
        <v>311353.132998163</v>
      </c>
      <c r="BE9" s="7">
        <f>[3]Input!N21332</f>
        <v>312365.23737976898</v>
      </c>
      <c r="BF9" s="7">
        <f>[3]Input!O21332</f>
        <v>310256.06561163801</v>
      </c>
      <c r="BG9" s="7">
        <f>[3]Input!P21332</f>
        <v>316578.10181829002</v>
      </c>
      <c r="BH9" s="7">
        <f>[3]Input!Q21332</f>
        <v>330435.23526291503</v>
      </c>
      <c r="BI9" s="7">
        <f>[3]Input!R21332</f>
        <v>342477.57046497398</v>
      </c>
      <c r="BJ9" s="7">
        <f>[3]Input!S21332</f>
        <v>358924.10915573</v>
      </c>
      <c r="BK9" s="7">
        <f>[3]Input!T21332</f>
        <v>371229.99259545503</v>
      </c>
      <c r="BL9" s="7">
        <f>[3]Input!U21332</f>
        <v>358111.15637116099</v>
      </c>
      <c r="BM9" s="7">
        <f>[3]Input!V21332</f>
        <v>335988.92277619097</v>
      </c>
      <c r="BN9" s="7">
        <f>[3]Input!W21332</f>
        <v>344913.88814697298</v>
      </c>
      <c r="BO9" s="7">
        <f>[3]Input!X21332</f>
        <v>361536.215043801</v>
      </c>
      <c r="BP9" s="7">
        <f>[3]Input!Y21332</f>
        <v>385552.09361715498</v>
      </c>
      <c r="BQ9" s="7">
        <f>[3]Input!Z21332</f>
        <v>396568.36528276699</v>
      </c>
      <c r="BR9" s="7">
        <f>[3]Input!AA21332</f>
        <v>414944.238682175</v>
      </c>
      <c r="BS9" s="7">
        <f>[3]Input!AB21332</f>
        <v>429861.00209953298</v>
      </c>
      <c r="BT9" s="7">
        <f>[3]Input!AC21332</f>
        <v>438335.83731756301</v>
      </c>
      <c r="BU9" s="7">
        <f>[3]Input!AD21332</f>
        <v>458984.97687995899</v>
      </c>
      <c r="BV9" s="7">
        <f>[3]Input!AE21332</f>
        <v>479452.25678475201</v>
      </c>
      <c r="BW9" s="7">
        <f>[3]Input!AF21332</f>
        <v>499886.49940794602</v>
      </c>
      <c r="BX9" s="7">
        <f>[3]Input!AG21332</f>
        <v>491025.10938752798</v>
      </c>
    </row>
    <row r="10" spans="1:81" x14ac:dyDescent="0.45">
      <c r="A10" s="20" t="str">
        <f>'[1]Full Hierarchy'!$A$248</f>
        <v>1.1.2.2</v>
      </c>
      <c r="B10" s="8" t="s">
        <v>28</v>
      </c>
      <c r="C10" s="6"/>
      <c r="D10" s="6"/>
      <c r="E10" s="6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  <c r="AA10" s="7"/>
      <c r="AB10" s="7"/>
      <c r="AC10" s="7"/>
      <c r="AD10" s="7"/>
      <c r="AE10" s="7"/>
      <c r="AF10" s="7"/>
      <c r="AG10" s="7"/>
      <c r="AH10" s="7"/>
      <c r="AI10" s="7"/>
      <c r="AJ10" s="7"/>
      <c r="AK10" s="7"/>
      <c r="AL10" s="7"/>
      <c r="AM10" s="7"/>
      <c r="AN10" s="7"/>
      <c r="AO10" s="7"/>
      <c r="AP10" s="7"/>
      <c r="AQ10" s="7"/>
      <c r="AR10" s="7"/>
      <c r="AS10" s="7"/>
      <c r="AT10" s="7"/>
      <c r="AU10" s="7"/>
      <c r="AV10" s="7"/>
      <c r="AW10" s="7"/>
      <c r="AX10" s="7"/>
      <c r="AY10" s="7"/>
      <c r="AZ10" s="7"/>
      <c r="BA10" s="7"/>
      <c r="BB10" s="7"/>
      <c r="BC10" s="7"/>
      <c r="BD10" s="7"/>
      <c r="BE10" s="7"/>
      <c r="BF10" s="7"/>
      <c r="BG10" s="7"/>
      <c r="BH10" s="7"/>
      <c r="BI10" s="7"/>
      <c r="BJ10" s="7"/>
      <c r="BK10" s="7"/>
      <c r="BL10" s="7"/>
      <c r="BM10" s="7"/>
      <c r="BN10" s="7"/>
      <c r="BO10" s="7"/>
      <c r="BP10" s="7"/>
      <c r="BQ10" s="7"/>
      <c r="BR10" s="7"/>
      <c r="BS10" s="7"/>
      <c r="BT10" s="7"/>
      <c r="BU10" s="7"/>
      <c r="BV10" s="7"/>
    </row>
    <row r="11" spans="1:81" x14ac:dyDescent="0.45">
      <c r="A11" s="20" t="str">
        <f>'[1]Full Hierarchy'!$A$274</f>
        <v>1.1.2.3</v>
      </c>
      <c r="B11" s="8" t="s">
        <v>27</v>
      </c>
      <c r="C11" s="6" t="s">
        <v>7</v>
      </c>
      <c r="D11" s="6" t="s">
        <v>10</v>
      </c>
      <c r="E11" s="6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  <c r="AA11" s="7"/>
      <c r="AB11" s="7"/>
      <c r="AC11" s="7"/>
      <c r="AD11" s="7"/>
      <c r="AE11" s="7"/>
      <c r="AF11" s="7"/>
      <c r="AG11" s="7"/>
      <c r="AH11" s="7"/>
      <c r="AI11" s="7"/>
      <c r="AJ11" s="7"/>
      <c r="AK11" s="7"/>
      <c r="AL11" s="7"/>
      <c r="AM11" s="7"/>
      <c r="AN11" s="7"/>
      <c r="AO11" s="7"/>
      <c r="AP11" s="7"/>
      <c r="AQ11" s="7"/>
      <c r="AR11" s="7"/>
      <c r="AS11" s="7"/>
      <c r="AT11" s="7"/>
      <c r="AU11" s="7"/>
      <c r="AV11" s="7"/>
      <c r="AW11" s="7"/>
      <c r="AX11" s="7"/>
      <c r="AY11" s="7">
        <f>AY18-AY5-AY6-AY9</f>
        <v>176871.2496126366</v>
      </c>
      <c r="AZ11" s="7">
        <f t="shared" ref="AZ11:BX11" si="0">AZ18-AZ5-AZ6-AZ9</f>
        <v>180944.50659609761</v>
      </c>
      <c r="BA11" s="7">
        <f t="shared" si="0"/>
        <v>180042.74013776181</v>
      </c>
      <c r="BB11" s="7">
        <f t="shared" si="0"/>
        <v>171856.15719340014</v>
      </c>
      <c r="BC11" s="7">
        <f t="shared" si="0"/>
        <v>177843.31892018107</v>
      </c>
      <c r="BD11" s="7">
        <f t="shared" si="0"/>
        <v>189305.68809459783</v>
      </c>
      <c r="BE11" s="7">
        <f t="shared" si="0"/>
        <v>196723.95492455125</v>
      </c>
      <c r="BF11" s="7">
        <f t="shared" si="0"/>
        <v>202532.20367065683</v>
      </c>
      <c r="BG11" s="7">
        <f t="shared" si="0"/>
        <v>228684.29948774591</v>
      </c>
      <c r="BH11" s="7">
        <f t="shared" si="0"/>
        <v>264552.44820167555</v>
      </c>
      <c r="BI11" s="7">
        <f t="shared" si="0"/>
        <v>280000.66970695293</v>
      </c>
      <c r="BJ11" s="7">
        <f t="shared" si="0"/>
        <v>275553.97674011346</v>
      </c>
      <c r="BK11" s="7">
        <f t="shared" si="0"/>
        <v>262177.90286446223</v>
      </c>
      <c r="BL11" s="7">
        <f t="shared" si="0"/>
        <v>276049.98759329063</v>
      </c>
      <c r="BM11" s="7">
        <f t="shared" si="0"/>
        <v>279830.21684001182</v>
      </c>
      <c r="BN11" s="7">
        <f t="shared" si="0"/>
        <v>284463.1296076295</v>
      </c>
      <c r="BO11" s="7">
        <f t="shared" si="0"/>
        <v>289449.68157182948</v>
      </c>
      <c r="BP11" s="7">
        <f t="shared" si="0"/>
        <v>293028.07067314663</v>
      </c>
      <c r="BQ11" s="7">
        <f t="shared" si="0"/>
        <v>295040.2567546661</v>
      </c>
      <c r="BR11" s="7">
        <f t="shared" si="0"/>
        <v>294494.12621506356</v>
      </c>
      <c r="BS11" s="7">
        <f t="shared" si="0"/>
        <v>282916.75227393908</v>
      </c>
      <c r="BT11" s="7">
        <f t="shared" si="0"/>
        <v>278156.89904346247</v>
      </c>
      <c r="BU11" s="7">
        <f t="shared" si="0"/>
        <v>277742.81253099197</v>
      </c>
      <c r="BV11" s="7">
        <f t="shared" si="0"/>
        <v>309214.06717524969</v>
      </c>
      <c r="BW11" s="7">
        <f t="shared" si="0"/>
        <v>322570.86499084404</v>
      </c>
      <c r="BX11" s="7">
        <f t="shared" si="0"/>
        <v>301523.18878876889</v>
      </c>
    </row>
    <row r="12" spans="1:81" s="15" customFormat="1" x14ac:dyDescent="0.45">
      <c r="A12" s="24" t="s">
        <v>31</v>
      </c>
      <c r="B12" s="16" t="s">
        <v>30</v>
      </c>
      <c r="Z12" s="25">
        <f>[4]V_Total_USD!W230/Z20</f>
        <v>596.65298434491967</v>
      </c>
      <c r="AA12" s="25">
        <f>[4]V_Total_USD!X230/AA20</f>
        <v>724.53334423257979</v>
      </c>
      <c r="AB12" s="25">
        <f>[4]V_Total_USD!Y230/AB20</f>
        <v>863.63649891056082</v>
      </c>
      <c r="AC12" s="25">
        <f>[4]V_Total_USD!Z230/AC20</f>
        <v>863.83733140182494</v>
      </c>
      <c r="AD12" s="25">
        <f>[4]V_Total_USD!AA230/AD20</f>
        <v>917.52894619937547</v>
      </c>
      <c r="AE12" s="25">
        <f>[4]V_Total_USD!AB230/AE20</f>
        <v>1059.0463754966881</v>
      </c>
      <c r="AF12" s="25">
        <f>[4]V_Total_USD!AC230/AF20</f>
        <v>1315.2174081368612</v>
      </c>
      <c r="AG12" s="25">
        <f>[4]V_Total_USD!AD230/AG20</f>
        <v>1480.2287020195104</v>
      </c>
      <c r="AH12" s="25">
        <f>[4]V_Total_USD!AE230/AH20</f>
        <v>1764.9684580162382</v>
      </c>
      <c r="AI12" s="25">
        <f>[4]V_Total_USD!AF230/AI20</f>
        <v>1969.5038363020087</v>
      </c>
      <c r="AJ12" s="25">
        <f>[4]V_Total_USD!AG230/AJ20</f>
        <v>2358.9322751409991</v>
      </c>
      <c r="AK12" s="25">
        <f>[4]V_Total_USD!AH230/AK20</f>
        <v>2609.5899181236323</v>
      </c>
      <c r="AL12" s="25">
        <f>[4]V_Total_USD!AI230/AL20</f>
        <v>3376.1674482406293</v>
      </c>
      <c r="AM12" s="25">
        <f>[4]V_Total_USD!AJ230/AM20</f>
        <v>3988.2547673154108</v>
      </c>
      <c r="AN12" s="25">
        <f>[4]V_Total_USD!AK230/AN20</f>
        <v>4488.4904613081044</v>
      </c>
      <c r="AO12" s="25">
        <f>[4]V_Total_USD!AL230/AO20</f>
        <v>5328.1875003055302</v>
      </c>
      <c r="AP12" s="25">
        <f>[4]V_Total_USD!AM230/AP20</f>
        <v>6437.6285662194468</v>
      </c>
      <c r="AQ12" s="25">
        <f>[4]V_Total_USD!AN230/AQ20</f>
        <v>7274.0924973455712</v>
      </c>
      <c r="AR12" s="25">
        <f>[4]V_Total_USD!AO230/AR20</f>
        <v>8363.2390390986293</v>
      </c>
      <c r="AS12" s="25">
        <f>[4]V_Total_USD!AP230/AS20</f>
        <v>9899.082378971314</v>
      </c>
      <c r="AT12" s="25">
        <f>[4]V_Total_USD!AQ230/AT20</f>
        <v>10124.09799771118</v>
      </c>
      <c r="AU12" s="25">
        <f>[4]V_Total_USD!AR230/AU20</f>
        <v>11108.403315383022</v>
      </c>
      <c r="AV12" s="25">
        <f>[4]V_Total_USD!AS230/AV20</f>
        <v>11722.990883884338</v>
      </c>
      <c r="AW12" s="25">
        <f>[4]V_Total_USD!AT230/AW20</f>
        <v>12780.199166799268</v>
      </c>
      <c r="AX12" s="25">
        <f>[4]V_Total_USD!AU230/AX20</f>
        <v>13353.236791091404</v>
      </c>
      <c r="AY12" s="25">
        <f>[4]V_Total_USD!AV230/AY20</f>
        <v>16300.699275160519</v>
      </c>
      <c r="AZ12" s="25">
        <f>[4]V_Total_USD!AW230/AZ20</f>
        <v>18903.082195432296</v>
      </c>
      <c r="BA12" s="25">
        <f>[4]V_Total_USD!AX230/BA20</f>
        <v>23127.893248575107</v>
      </c>
      <c r="BB12" s="25">
        <f>[4]V_Total_USD!AY230/BB20</f>
        <v>26808.680627242924</v>
      </c>
      <c r="BC12" s="25">
        <f>[4]V_Total_USD!AZ230/BC20</f>
        <v>30897.272255394761</v>
      </c>
      <c r="BD12" s="25">
        <f>[4]V_Total_USD!BA230/BD20</f>
        <v>32607.784970669956</v>
      </c>
      <c r="BE12" s="25">
        <f>[4]V_Total_USD!BB230/BE20</f>
        <v>33294.903039635043</v>
      </c>
      <c r="BF12" s="25">
        <f>[4]V_Total_USD!BC230/BF20</f>
        <v>33008.167794928595</v>
      </c>
      <c r="BG12" s="25">
        <f>[4]V_Total_USD!BD230/BG20</f>
        <v>37646.230025387755</v>
      </c>
      <c r="BH12" s="25">
        <f>[4]V_Total_USD!BE230/BH20</f>
        <v>44238.398644627647</v>
      </c>
      <c r="BI12" s="25">
        <f>[4]V_Total_USD!BF230/BI20</f>
        <v>51450.823974280371</v>
      </c>
      <c r="BJ12" s="25">
        <f>[4]V_Total_USD!BG230/BJ20</f>
        <v>60985.901059330259</v>
      </c>
      <c r="BK12" s="25">
        <f>[4]V_Total_USD!BH230/BK20</f>
        <v>72832.256318913744</v>
      </c>
      <c r="BL12" s="25">
        <f>[4]V_Total_USD!BI230/BL20</f>
        <v>76790.151383003802</v>
      </c>
      <c r="BM12" s="25">
        <f>[4]V_Total_USD!BJ230/BM20</f>
        <v>71598.719765672911</v>
      </c>
      <c r="BN12" s="25">
        <f>[4]V_Total_USD!BK230/BN20</f>
        <v>78053.755642068281</v>
      </c>
      <c r="BO12" s="25">
        <f>[4]V_Total_USD!BL230/BO20</f>
        <v>84889.611367569203</v>
      </c>
      <c r="BP12" s="25">
        <f>[4]V_Total_USD!BM230/BP20</f>
        <v>85395.341523899653</v>
      </c>
      <c r="BQ12" s="25">
        <f>[4]V_Total_USD!BN230/BQ20</f>
        <v>92197.525919458407</v>
      </c>
      <c r="BR12" s="25">
        <f>[4]V_Total_USD!BO230/BR20</f>
        <v>98504.454648718238</v>
      </c>
      <c r="BS12" s="25">
        <f>[4]V_Total_USD!BP230/BS20</f>
        <v>94724.646207947721</v>
      </c>
      <c r="BT12" s="25">
        <f>[4]V_Total_USD!BQ230/BT20</f>
        <v>97699.778330466244</v>
      </c>
      <c r="BU12" s="25">
        <f>[4]V_Total_USD!BR230/BU20</f>
        <v>106599.3205914079</v>
      </c>
      <c r="BV12" s="25">
        <f>[4]V_Total_USD!BS230/BV20</f>
        <v>104169.23193677211</v>
      </c>
      <c r="BW12" s="25">
        <f>[4]V_Total_USD!BT230/BW20</f>
        <v>119931.34499116479</v>
      </c>
      <c r="BX12" s="25">
        <f>[4]V_Total_USD!BU230/BX20</f>
        <v>137711.19496098117</v>
      </c>
      <c r="BY12" s="25">
        <f>[4]V_Total_USD!BV230/BY20</f>
        <v>158088.04443534795</v>
      </c>
      <c r="BZ12" s="25">
        <f>[4]V_Total_USD!BW230/BZ20</f>
        <v>138894.32876465606</v>
      </c>
      <c r="CA12" s="25">
        <f>[4]V_Total_USD!BX230/CA20</f>
        <v>158493.52912907631</v>
      </c>
      <c r="CB12" s="25">
        <f>[4]V_Total_USD!BY230/CB20</f>
        <v>180237.50697510759</v>
      </c>
    </row>
    <row r="13" spans="1:81" s="15" customFormat="1" x14ac:dyDescent="0.45">
      <c r="A13" s="22" t="s">
        <v>32</v>
      </c>
      <c r="B13" s="18" t="s">
        <v>20</v>
      </c>
      <c r="C13" s="17" t="s">
        <v>7</v>
      </c>
      <c r="D13" s="17" t="s">
        <v>12</v>
      </c>
      <c r="E13" s="17"/>
      <c r="F13" s="19">
        <v>0</v>
      </c>
      <c r="G13" s="19">
        <v>0</v>
      </c>
      <c r="H13" s="19">
        <v>0</v>
      </c>
      <c r="I13" s="19">
        <v>0</v>
      </c>
      <c r="J13" s="19">
        <v>0</v>
      </c>
      <c r="K13" s="19">
        <v>0</v>
      </c>
      <c r="L13" s="19">
        <v>0</v>
      </c>
      <c r="M13" s="19">
        <v>0</v>
      </c>
      <c r="N13" s="19">
        <v>0</v>
      </c>
      <c r="O13" s="19">
        <v>0</v>
      </c>
      <c r="P13" s="19">
        <v>0</v>
      </c>
      <c r="Q13" s="19">
        <v>0</v>
      </c>
      <c r="R13" s="19">
        <v>0</v>
      </c>
      <c r="S13" s="19">
        <v>0</v>
      </c>
      <c r="T13" s="19">
        <v>0</v>
      </c>
      <c r="U13" s="19">
        <v>0</v>
      </c>
      <c r="V13" s="19">
        <v>0</v>
      </c>
      <c r="W13" s="19">
        <v>0</v>
      </c>
      <c r="X13" s="19">
        <v>0</v>
      </c>
      <c r="Y13" s="19">
        <v>0</v>
      </c>
      <c r="Z13" s="19">
        <v>0</v>
      </c>
      <c r="AA13" s="19">
        <v>0</v>
      </c>
      <c r="AB13" s="19">
        <v>0</v>
      </c>
      <c r="AC13" s="19">
        <v>0</v>
      </c>
      <c r="AD13" s="19">
        <v>0</v>
      </c>
      <c r="AE13" s="19">
        <v>0</v>
      </c>
      <c r="AF13" s="19">
        <v>0</v>
      </c>
      <c r="AG13" s="19">
        <v>0</v>
      </c>
      <c r="AH13" s="19">
        <v>0</v>
      </c>
      <c r="AI13" s="19">
        <v>0</v>
      </c>
      <c r="AJ13" s="19">
        <v>0</v>
      </c>
      <c r="AK13" s="19">
        <v>0</v>
      </c>
      <c r="AL13" s="19">
        <v>0</v>
      </c>
      <c r="AM13" s="19">
        <v>0</v>
      </c>
      <c r="AN13" s="19">
        <v>0</v>
      </c>
      <c r="AO13" s="19">
        <v>0</v>
      </c>
      <c r="AP13" s="19">
        <v>0</v>
      </c>
      <c r="AQ13" s="19">
        <v>0</v>
      </c>
      <c r="AR13" s="19">
        <v>0</v>
      </c>
      <c r="AS13" s="19">
        <v>0</v>
      </c>
      <c r="AT13" s="19">
        <v>0</v>
      </c>
      <c r="AU13" s="19">
        <v>0</v>
      </c>
      <c r="AV13" s="19">
        <v>0</v>
      </c>
      <c r="AW13" s="19">
        <v>0</v>
      </c>
      <c r="AX13" s="19">
        <v>0</v>
      </c>
      <c r="AY13" s="19">
        <v>0</v>
      </c>
      <c r="AZ13" s="19">
        <v>0</v>
      </c>
      <c r="BA13" s="19">
        <v>0</v>
      </c>
      <c r="BB13" s="19">
        <v>0</v>
      </c>
      <c r="BC13" s="19">
        <v>0</v>
      </c>
      <c r="BD13" s="19">
        <v>0</v>
      </c>
      <c r="BE13" s="19">
        <v>0</v>
      </c>
      <c r="BF13" s="19">
        <v>0</v>
      </c>
      <c r="BG13" s="19">
        <v>0</v>
      </c>
      <c r="BH13" s="19">
        <v>0</v>
      </c>
      <c r="BI13" s="19">
        <v>0</v>
      </c>
      <c r="BJ13" s="19">
        <v>0</v>
      </c>
      <c r="BK13" s="19">
        <v>0</v>
      </c>
      <c r="BL13" s="19">
        <v>0</v>
      </c>
      <c r="BM13" s="19">
        <v>0</v>
      </c>
      <c r="BN13" s="19">
        <v>0</v>
      </c>
      <c r="BO13" s="19">
        <v>0</v>
      </c>
      <c r="BP13" s="19">
        <v>0</v>
      </c>
      <c r="BQ13" s="19">
        <v>0</v>
      </c>
      <c r="BR13" s="19">
        <v>0</v>
      </c>
      <c r="BS13" s="19">
        <v>0</v>
      </c>
      <c r="BT13" s="19">
        <v>0</v>
      </c>
      <c r="BU13" s="19">
        <v>0</v>
      </c>
      <c r="BV13" s="19">
        <v>0</v>
      </c>
      <c r="BW13" s="19">
        <v>0</v>
      </c>
      <c r="BX13" s="19">
        <v>0</v>
      </c>
      <c r="BY13" s="19">
        <v>0</v>
      </c>
      <c r="BZ13" s="19">
        <v>0</v>
      </c>
      <c r="CA13" s="19">
        <v>0</v>
      </c>
      <c r="CB13" s="19">
        <v>0</v>
      </c>
    </row>
    <row r="14" spans="1:81" s="15" customFormat="1" x14ac:dyDescent="0.45">
      <c r="A14" s="22" t="s">
        <v>33</v>
      </c>
      <c r="B14" s="18" t="s">
        <v>21</v>
      </c>
      <c r="C14" s="17" t="s">
        <v>7</v>
      </c>
      <c r="D14" s="17" t="s">
        <v>12</v>
      </c>
      <c r="E14" s="17"/>
      <c r="BE14" s="19"/>
      <c r="BF14" s="19"/>
      <c r="BG14" s="19"/>
      <c r="BH14" s="19"/>
      <c r="BI14" s="19"/>
      <c r="BJ14" s="19"/>
      <c r="BK14" s="19"/>
      <c r="BL14" s="19"/>
      <c r="BM14" s="19"/>
      <c r="BN14" s="19"/>
      <c r="BO14" s="19"/>
      <c r="BP14" s="19"/>
      <c r="BQ14" s="19"/>
      <c r="BR14" s="19"/>
      <c r="BS14" s="19"/>
      <c r="BT14" s="19"/>
      <c r="BU14" s="19"/>
      <c r="BV14" s="19"/>
      <c r="BW14" s="19"/>
      <c r="BX14" s="19"/>
      <c r="BY14" s="19"/>
      <c r="BZ14" s="19"/>
      <c r="CA14" s="19"/>
      <c r="CB14" s="19"/>
      <c r="CC14" s="19"/>
    </row>
    <row r="15" spans="1:81" s="15" customFormat="1" x14ac:dyDescent="0.45">
      <c r="A15" s="22" t="s">
        <v>34</v>
      </c>
      <c r="B15" s="18" t="s">
        <v>29</v>
      </c>
      <c r="C15" s="17" t="s">
        <v>7</v>
      </c>
      <c r="D15" s="17" t="s">
        <v>12</v>
      </c>
      <c r="E15" s="17"/>
      <c r="F15" s="19"/>
      <c r="G15" s="19"/>
      <c r="H15" s="19"/>
      <c r="I15" s="19"/>
      <c r="J15" s="19"/>
      <c r="K15" s="19"/>
      <c r="L15" s="19"/>
      <c r="M15" s="19"/>
      <c r="N15" s="19"/>
      <c r="O15" s="19"/>
      <c r="P15" s="19"/>
      <c r="Q15" s="19"/>
      <c r="R15" s="19"/>
      <c r="S15" s="19"/>
      <c r="T15" s="19"/>
      <c r="U15" s="19"/>
      <c r="V15" s="19"/>
      <c r="W15" s="19"/>
      <c r="X15" s="19"/>
      <c r="Y15" s="19"/>
      <c r="Z15" s="19"/>
      <c r="AA15" s="19"/>
      <c r="AB15" s="19"/>
      <c r="AC15" s="19"/>
      <c r="AD15" s="19"/>
      <c r="AE15" s="19"/>
      <c r="AF15" s="19"/>
      <c r="AG15" s="19"/>
      <c r="AH15" s="19"/>
      <c r="AI15" s="19"/>
      <c r="AJ15" s="19"/>
      <c r="AK15" s="19"/>
      <c r="AL15" s="19"/>
      <c r="AM15" s="19"/>
      <c r="AN15" s="19"/>
      <c r="AO15" s="19"/>
      <c r="AP15" s="19"/>
      <c r="AQ15" s="19"/>
      <c r="AR15" s="19"/>
      <c r="AS15" s="19"/>
      <c r="AT15" s="19"/>
      <c r="AU15" s="19"/>
      <c r="AV15" s="19"/>
      <c r="AW15" s="19"/>
      <c r="AX15" s="19"/>
      <c r="AY15" s="19">
        <f>SUM(AY5:AY11)-SUM(AY12:AY14)</f>
        <v>506638.82693044684</v>
      </c>
      <c r="AZ15" s="19">
        <f t="shared" ref="AZ15:BX15" si="1">SUM(AZ5:AZ11)-SUM(AZ12:AZ14)</f>
        <v>523775.58568932547</v>
      </c>
      <c r="BA15" s="19">
        <f t="shared" si="1"/>
        <v>535404.17020649265</v>
      </c>
      <c r="BB15" s="19">
        <f t="shared" si="1"/>
        <v>543905.86715239089</v>
      </c>
      <c r="BC15" s="19">
        <f t="shared" si="1"/>
        <v>568777.88737876632</v>
      </c>
      <c r="BD15" s="19">
        <f t="shared" si="1"/>
        <v>602590.46820418257</v>
      </c>
      <c r="BE15" s="19">
        <f t="shared" si="1"/>
        <v>609986.40805499838</v>
      </c>
      <c r="BF15" s="19">
        <f t="shared" si="1"/>
        <v>617286.25990487589</v>
      </c>
      <c r="BG15" s="19">
        <f t="shared" si="1"/>
        <v>656002.41384031472</v>
      </c>
      <c r="BH15" s="19">
        <f t="shared" si="1"/>
        <v>714956.39170284558</v>
      </c>
      <c r="BI15" s="19">
        <f t="shared" si="1"/>
        <v>756974.03525144048</v>
      </c>
      <c r="BJ15" s="19">
        <f t="shared" si="1"/>
        <v>780334.18877557409</v>
      </c>
      <c r="BK15" s="19">
        <f t="shared" si="1"/>
        <v>788859.94154735561</v>
      </c>
      <c r="BL15" s="19">
        <f t="shared" si="1"/>
        <v>785137.6380431474</v>
      </c>
      <c r="BM15" s="19">
        <f t="shared" si="1"/>
        <v>766612.05347015359</v>
      </c>
      <c r="BN15" s="19">
        <f t="shared" si="1"/>
        <v>784778.97333065351</v>
      </c>
      <c r="BO15" s="19">
        <f t="shared" si="1"/>
        <v>800643.89072854759</v>
      </c>
      <c r="BP15" s="19">
        <f t="shared" si="1"/>
        <v>832002.34877104021</v>
      </c>
      <c r="BQ15" s="19">
        <f t="shared" si="1"/>
        <v>847810.12653944106</v>
      </c>
      <c r="BR15" s="19">
        <f t="shared" si="1"/>
        <v>869254.62778092222</v>
      </c>
      <c r="BS15" s="19">
        <f t="shared" si="1"/>
        <v>877318.12085233431</v>
      </c>
      <c r="BT15" s="19">
        <f t="shared" si="1"/>
        <v>879697.33187176543</v>
      </c>
      <c r="BU15" s="19">
        <f t="shared" si="1"/>
        <v>909243.3487647397</v>
      </c>
      <c r="BV15" s="19">
        <f t="shared" si="1"/>
        <v>964210.27396814921</v>
      </c>
      <c r="BW15" s="19">
        <f t="shared" si="1"/>
        <v>999953.86388184037</v>
      </c>
      <c r="BX15" s="19">
        <f t="shared" si="1"/>
        <v>972641.05812519952</v>
      </c>
    </row>
    <row r="16" spans="1:81" x14ac:dyDescent="0.45">
      <c r="A16" s="4"/>
      <c r="B16" s="4"/>
      <c r="C16" s="4"/>
      <c r="D16" s="4"/>
      <c r="E16" s="4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</row>
    <row r="17" spans="1:81" x14ac:dyDescent="0.45">
      <c r="A17" s="6" t="s">
        <v>18</v>
      </c>
      <c r="B17" s="6"/>
      <c r="C17" s="6"/>
      <c r="D17" s="6"/>
      <c r="E17" s="6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  <c r="AA17" s="7"/>
      <c r="AB17" s="7"/>
      <c r="AC17" s="7"/>
      <c r="AD17" s="7"/>
      <c r="AE17" s="7"/>
      <c r="AF17" s="7"/>
      <c r="AG17" s="7"/>
      <c r="AH17" s="7"/>
      <c r="AI17" s="7"/>
      <c r="AJ17" s="7"/>
      <c r="AK17" s="7"/>
      <c r="AL17" s="7"/>
      <c r="AM17" s="7"/>
      <c r="AN17" s="7"/>
      <c r="AO17" s="7"/>
      <c r="AP17" s="7"/>
      <c r="AQ17" s="7"/>
      <c r="AR17" s="7"/>
      <c r="AS17" s="7"/>
      <c r="AT17" s="7"/>
      <c r="AU17" s="7"/>
      <c r="AV17" s="7"/>
      <c r="AW17" s="7"/>
      <c r="AX17" s="7"/>
      <c r="AY17" s="7"/>
      <c r="AZ17" s="7"/>
      <c r="BA17" s="7"/>
      <c r="BB17" s="7"/>
      <c r="BC17" s="7"/>
      <c r="BD17" s="7"/>
      <c r="BE17" s="7"/>
      <c r="BF17" s="7"/>
      <c r="BG17" s="7"/>
      <c r="BH17" s="7"/>
      <c r="BI17" s="7"/>
      <c r="BJ17" s="7"/>
      <c r="BK17" s="7"/>
      <c r="BL17" s="7"/>
      <c r="BM17" s="7"/>
      <c r="BN17" s="7"/>
      <c r="BO17" s="7"/>
      <c r="BP17" s="7"/>
      <c r="BQ17" s="7"/>
      <c r="BR17" s="7"/>
      <c r="BS17" s="7"/>
      <c r="BT17" s="7"/>
      <c r="BU17" s="7"/>
      <c r="BV17" s="7"/>
    </row>
    <row r="18" spans="1:81" s="11" customFormat="1" x14ac:dyDescent="0.45">
      <c r="A18" s="9"/>
      <c r="B18" s="9" t="s">
        <v>6</v>
      </c>
      <c r="C18" s="9" t="s">
        <v>7</v>
      </c>
      <c r="D18" s="9" t="s">
        <v>8</v>
      </c>
      <c r="E18" s="9"/>
      <c r="F18" s="10">
        <v>30796.83</v>
      </c>
      <c r="G18" s="10">
        <v>34704.74</v>
      </c>
      <c r="H18" s="10">
        <v>35595.14</v>
      </c>
      <c r="I18" s="10">
        <v>36539.300000000003</v>
      </c>
      <c r="J18" s="10">
        <v>35460.99</v>
      </c>
      <c r="K18" s="10">
        <v>37384.85</v>
      </c>
      <c r="L18" s="10">
        <v>38113.86</v>
      </c>
      <c r="M18" s="10">
        <v>38796.54</v>
      </c>
      <c r="N18" s="10">
        <v>38043.01</v>
      </c>
      <c r="O18" s="10">
        <v>41105.71</v>
      </c>
      <c r="P18" s="10">
        <v>41412.22</v>
      </c>
      <c r="Q18" s="10">
        <v>41597.910000000003</v>
      </c>
      <c r="R18" s="10">
        <v>46859.16</v>
      </c>
      <c r="S18" s="10">
        <v>48485.95</v>
      </c>
      <c r="T18" s="10">
        <v>51169.27</v>
      </c>
      <c r="U18" s="10">
        <v>55031.77</v>
      </c>
      <c r="V18" s="10">
        <v>59436.35</v>
      </c>
      <c r="W18" s="10">
        <v>62321.85</v>
      </c>
      <c r="X18" s="10">
        <v>68507.25</v>
      </c>
      <c r="Y18" s="10">
        <v>74116.429999999993</v>
      </c>
      <c r="Z18" s="10">
        <v>78046.289999999994</v>
      </c>
      <c r="AA18" s="10">
        <v>84791.57</v>
      </c>
      <c r="AB18" s="10">
        <v>95831.5</v>
      </c>
      <c r="AC18" s="10">
        <v>112942.33</v>
      </c>
      <c r="AD18" s="10">
        <v>125649.83</v>
      </c>
      <c r="AE18" s="10">
        <v>136246.01999999999</v>
      </c>
      <c r="AF18" s="10">
        <v>145856.71</v>
      </c>
      <c r="AG18" s="10">
        <v>158582.84</v>
      </c>
      <c r="AH18" s="10">
        <v>180617.58</v>
      </c>
      <c r="AI18" s="10">
        <v>207729.84</v>
      </c>
      <c r="AJ18" s="10">
        <v>230990.06</v>
      </c>
      <c r="AK18" s="10">
        <v>250698.45</v>
      </c>
      <c r="AL18" s="10">
        <v>250984.79</v>
      </c>
      <c r="AM18" s="10">
        <v>259655.94</v>
      </c>
      <c r="AN18" s="10">
        <v>291171.84000000003</v>
      </c>
      <c r="AO18" s="10">
        <v>315573.36</v>
      </c>
      <c r="AP18" s="10">
        <v>346626.11</v>
      </c>
      <c r="AQ18" s="10">
        <v>388137.37</v>
      </c>
      <c r="AR18" s="10">
        <v>425386.36</v>
      </c>
      <c r="AS18" s="10">
        <v>428805.9</v>
      </c>
      <c r="AT18" s="10">
        <v>432453.98</v>
      </c>
      <c r="AU18" s="10">
        <v>435110.36</v>
      </c>
      <c r="AV18" s="10">
        <v>458863.18</v>
      </c>
      <c r="AW18" s="10">
        <v>468830.24</v>
      </c>
      <c r="AX18" s="10">
        <v>487524.31</v>
      </c>
      <c r="AY18" s="10">
        <v>507673.73</v>
      </c>
      <c r="AZ18" s="10">
        <v>524987.67000000004</v>
      </c>
      <c r="BA18" s="10">
        <v>538286.5</v>
      </c>
      <c r="BB18" s="10">
        <v>547649.81000000006</v>
      </c>
      <c r="BC18" s="10">
        <v>572373.01</v>
      </c>
      <c r="BD18" s="10">
        <v>608048.14</v>
      </c>
      <c r="BE18" s="10">
        <v>618057.56999999995</v>
      </c>
      <c r="BF18" s="10">
        <v>625682.27</v>
      </c>
      <c r="BG18" s="10">
        <v>663909.73</v>
      </c>
      <c r="BH18" s="10">
        <v>723026.33</v>
      </c>
      <c r="BI18" s="10">
        <v>763256.62</v>
      </c>
      <c r="BJ18" s="10">
        <v>786385.87</v>
      </c>
      <c r="BK18" s="10">
        <v>793096.66</v>
      </c>
      <c r="BL18" s="10">
        <v>798236.04</v>
      </c>
      <c r="BM18" s="10">
        <v>775140.43</v>
      </c>
      <c r="BN18" s="10">
        <v>792851.53</v>
      </c>
      <c r="BO18" s="10">
        <v>814825.82</v>
      </c>
      <c r="BP18" s="10">
        <v>846412.02</v>
      </c>
      <c r="BQ18" s="10">
        <v>864815.45</v>
      </c>
      <c r="BR18" s="10">
        <v>890984.29</v>
      </c>
      <c r="BS18" s="10">
        <v>900592.74</v>
      </c>
      <c r="BT18" s="10">
        <v>904785.13</v>
      </c>
      <c r="BU18" s="10">
        <v>932815.33</v>
      </c>
      <c r="BV18" s="10">
        <v>993446.6</v>
      </c>
      <c r="BW18" s="10">
        <v>1034491.41</v>
      </c>
      <c r="BX18" s="10">
        <v>1016010.05</v>
      </c>
      <c r="BY18" s="10">
        <v>1119684.24</v>
      </c>
      <c r="BZ18" s="10">
        <v>1203581.45</v>
      </c>
      <c r="CA18" s="10">
        <v>1240133.3500000001</v>
      </c>
      <c r="CB18" s="10">
        <v>1290420.3799999999</v>
      </c>
      <c r="CC18" s="10">
        <v>1338359.75</v>
      </c>
    </row>
    <row r="19" spans="1:81" s="11" customFormat="1" x14ac:dyDescent="0.45">
      <c r="A19" s="12"/>
      <c r="B19" s="12" t="s">
        <v>11</v>
      </c>
      <c r="C19" s="12" t="s">
        <v>7</v>
      </c>
      <c r="D19" s="12" t="s">
        <v>10</v>
      </c>
      <c r="E19" s="12"/>
      <c r="F19" s="13">
        <v>24406.320323138301</v>
      </c>
      <c r="G19" s="13">
        <v>27601.994886688652</v>
      </c>
      <c r="H19" s="13">
        <v>28207.008416597331</v>
      </c>
      <c r="I19" s="13">
        <v>28971.518420665299</v>
      </c>
      <c r="J19" s="13">
        <v>27820.70427313471</v>
      </c>
      <c r="K19" s="13">
        <v>29430.16114944479</v>
      </c>
      <c r="L19" s="13">
        <v>29570.269136062441</v>
      </c>
      <c r="M19" s="13">
        <v>29907.472481490429</v>
      </c>
      <c r="N19" s="13">
        <v>29123.45115659964</v>
      </c>
      <c r="O19" s="13">
        <v>31959.26738813235</v>
      </c>
      <c r="P19" s="13">
        <v>32123.066118518771</v>
      </c>
      <c r="Q19" s="13">
        <v>31976.97209768551</v>
      </c>
      <c r="R19" s="13">
        <v>36942.826370017297</v>
      </c>
      <c r="S19" s="13">
        <v>38428.904781430341</v>
      </c>
      <c r="T19" s="13">
        <v>40782.167271692662</v>
      </c>
      <c r="U19" s="13">
        <v>44076.055947515197</v>
      </c>
      <c r="V19" s="13">
        <v>47848.722317357962</v>
      </c>
      <c r="W19" s="13">
        <v>50120.160979537774</v>
      </c>
      <c r="X19" s="13">
        <v>55401.187887523323</v>
      </c>
      <c r="Y19" s="13">
        <v>59866.078128162517</v>
      </c>
      <c r="Z19" s="13">
        <v>62819.597852673753</v>
      </c>
      <c r="AA19" s="13">
        <v>69201.450022632038</v>
      </c>
      <c r="AB19" s="13">
        <v>78743.450586072271</v>
      </c>
      <c r="AC19" s="13">
        <v>93785.754015344064</v>
      </c>
      <c r="AD19" s="13">
        <v>103598.99052241079</v>
      </c>
      <c r="AE19" s="13">
        <v>111714.0217473868</v>
      </c>
      <c r="AF19" s="13">
        <v>119504.9305893494</v>
      </c>
      <c r="AG19" s="13">
        <v>129434.6180812449</v>
      </c>
      <c r="AH19" s="13">
        <v>147772.23526627559</v>
      </c>
      <c r="AI19" s="13">
        <v>169785.2816133606</v>
      </c>
      <c r="AJ19" s="13">
        <v>188533.71290770729</v>
      </c>
      <c r="AK19" s="13">
        <v>203632.69130437399</v>
      </c>
      <c r="AL19" s="13">
        <v>200886.3802105092</v>
      </c>
      <c r="AM19" s="13">
        <v>208717.05941194101</v>
      </c>
      <c r="AN19" s="13">
        <v>237939.86610144391</v>
      </c>
      <c r="AO19" s="13">
        <v>260079.64350541419</v>
      </c>
      <c r="AP19" s="13">
        <v>288745.79727457772</v>
      </c>
      <c r="AQ19" s="13">
        <v>327148.51933048532</v>
      </c>
      <c r="AR19" s="13">
        <v>360979.60089787422</v>
      </c>
      <c r="AS19" s="13">
        <v>361021.73748710129</v>
      </c>
      <c r="AT19" s="13">
        <v>361187.98016489699</v>
      </c>
      <c r="AU19" s="13">
        <v>363100.58628479613</v>
      </c>
      <c r="AV19" s="13">
        <v>385310.38872128952</v>
      </c>
      <c r="AW19" s="13">
        <v>391807.14873070462</v>
      </c>
      <c r="AX19" s="13">
        <v>407289.67322239821</v>
      </c>
      <c r="AY19" s="13">
        <v>423332.7180047516</v>
      </c>
      <c r="AZ19" s="13">
        <v>437648.91244732362</v>
      </c>
      <c r="BA19" s="13">
        <v>448049.42250723881</v>
      </c>
      <c r="BB19" s="13">
        <v>454709.39699070412</v>
      </c>
      <c r="BC19" s="13">
        <v>474822.37406053708</v>
      </c>
      <c r="BD19" s="13">
        <v>500658.82109276077</v>
      </c>
      <c r="BE19" s="13">
        <v>509089.19230432023</v>
      </c>
      <c r="BF19" s="13">
        <v>512788.26928229479</v>
      </c>
      <c r="BG19" s="13">
        <v>545262.40130603593</v>
      </c>
      <c r="BH19" s="13">
        <v>594987.68346459058</v>
      </c>
      <c r="BI19" s="13">
        <v>622478.24017192691</v>
      </c>
      <c r="BJ19" s="13">
        <v>634478.08589584345</v>
      </c>
      <c r="BK19" s="13">
        <v>633407.89545991726</v>
      </c>
      <c r="BL19" s="13">
        <v>634161.14396445162</v>
      </c>
      <c r="BM19" s="13">
        <v>615819.1396162028</v>
      </c>
      <c r="BN19" s="13">
        <v>629377.01775460248</v>
      </c>
      <c r="BO19" s="13">
        <v>650985.89661563048</v>
      </c>
      <c r="BP19" s="13">
        <v>678580.16429030162</v>
      </c>
      <c r="BQ19" s="13">
        <v>691608.62203743309</v>
      </c>
      <c r="BR19" s="13">
        <v>709438.36489723856</v>
      </c>
      <c r="BS19" s="13">
        <v>712777.75437347207</v>
      </c>
      <c r="BT19" s="13">
        <v>716492.73636102548</v>
      </c>
      <c r="BU19" s="13">
        <v>736727.78941095097</v>
      </c>
      <c r="BV19" s="13">
        <v>788666.3239600017</v>
      </c>
      <c r="BW19" s="13">
        <v>822457.36439879006</v>
      </c>
      <c r="BX19" s="13">
        <v>792548.29817629687</v>
      </c>
      <c r="BY19" s="13">
        <v>877672.41620954731</v>
      </c>
      <c r="BZ19" s="13">
        <v>926754.13035131176</v>
      </c>
      <c r="CA19" s="13">
        <v>952015.53728411859</v>
      </c>
      <c r="CB19" s="13">
        <v>993935.51363274013</v>
      </c>
      <c r="CC19" s="13">
        <v>1009460.7908356549</v>
      </c>
    </row>
    <row r="20" spans="1:81" s="11" customFormat="1" x14ac:dyDescent="0.45">
      <c r="A20" s="9"/>
      <c r="B20" s="9" t="s">
        <v>13</v>
      </c>
      <c r="C20" s="9" t="s">
        <v>14</v>
      </c>
      <c r="D20" s="9" t="s">
        <v>15</v>
      </c>
      <c r="E20" s="9"/>
      <c r="F20" s="10">
        <v>154.20268050000001</v>
      </c>
      <c r="G20" s="10">
        <v>156.481323</v>
      </c>
      <c r="H20" s="10">
        <v>158.79422199999999</v>
      </c>
      <c r="I20" s="10">
        <v>161.16831550000001</v>
      </c>
      <c r="J20" s="10">
        <v>163.63630850000001</v>
      </c>
      <c r="K20" s="10">
        <v>166.20002450000001</v>
      </c>
      <c r="L20" s="10">
        <v>168.82496</v>
      </c>
      <c r="M20" s="10">
        <v>171.49922649999999</v>
      </c>
      <c r="N20" s="10">
        <v>174.21530949999999</v>
      </c>
      <c r="O20" s="10">
        <v>177.14576450000001</v>
      </c>
      <c r="P20" s="10">
        <v>180.27455499999999</v>
      </c>
      <c r="Q20" s="10">
        <v>183.489485</v>
      </c>
      <c r="R20" s="10">
        <v>186.72427250000001</v>
      </c>
      <c r="S20" s="10">
        <v>189.82522650000001</v>
      </c>
      <c r="T20" s="10">
        <v>192.81945200000001</v>
      </c>
      <c r="U20" s="10">
        <v>195.653774</v>
      </c>
      <c r="V20" s="10">
        <v>198.26540600000001</v>
      </c>
      <c r="W20" s="10">
        <v>200.69991150000001</v>
      </c>
      <c r="X20" s="10">
        <v>203.0110195</v>
      </c>
      <c r="Y20" s="10">
        <v>205.30003249999999</v>
      </c>
      <c r="Z20" s="10">
        <v>207.79633899999999</v>
      </c>
      <c r="AA20" s="10">
        <v>210.42643150000001</v>
      </c>
      <c r="AB20" s="10">
        <v>212.84257249999999</v>
      </c>
      <c r="AC20" s="10">
        <v>215.006551</v>
      </c>
      <c r="AD20" s="10">
        <v>217.07647650000001</v>
      </c>
      <c r="AE20" s="10">
        <v>219.129301</v>
      </c>
      <c r="AF20" s="10">
        <v>221.1687575</v>
      </c>
      <c r="AG20" s="10">
        <v>223.25941900000001</v>
      </c>
      <c r="AH20" s="10">
        <v>225.396096</v>
      </c>
      <c r="AI20" s="10">
        <v>227.57508350000001</v>
      </c>
      <c r="AJ20" s="10">
        <v>229.858655</v>
      </c>
      <c r="AK20" s="10">
        <v>232.2016175</v>
      </c>
      <c r="AL20" s="10">
        <v>234.58315150000001</v>
      </c>
      <c r="AM20" s="10">
        <v>236.98636500000001</v>
      </c>
      <c r="AN20" s="10">
        <v>239.35396750000001</v>
      </c>
      <c r="AO20" s="10">
        <v>241.69044349999999</v>
      </c>
      <c r="AP20" s="10">
        <v>243.95380750000001</v>
      </c>
      <c r="AQ20" s="10">
        <v>246.16129100000001</v>
      </c>
      <c r="AR20" s="10">
        <v>248.393235</v>
      </c>
      <c r="AS20" s="10">
        <v>250.67505299999999</v>
      </c>
      <c r="AT20" s="10">
        <v>253.37338700000001</v>
      </c>
      <c r="AU20" s="10">
        <v>256.47142250000002</v>
      </c>
      <c r="AV20" s="10">
        <v>259.6060195</v>
      </c>
      <c r="AW20" s="10">
        <v>262.63323100000002</v>
      </c>
      <c r="AX20" s="10">
        <v>265.47480999999999</v>
      </c>
      <c r="AY20" s="10">
        <v>268.20579449999991</v>
      </c>
      <c r="AZ20" s="10">
        <v>270.86069600000002</v>
      </c>
      <c r="BA20" s="10">
        <v>273.46801249999987</v>
      </c>
      <c r="BB20" s="10">
        <v>276.1193325000001</v>
      </c>
      <c r="BC20" s="10">
        <v>278.785484</v>
      </c>
      <c r="BD20" s="10">
        <v>281.48413049999999</v>
      </c>
      <c r="BE20" s="10">
        <v>284.27963849999998</v>
      </c>
      <c r="BF20" s="10">
        <v>287.08433800000012</v>
      </c>
      <c r="BG20" s="10">
        <v>289.90809949999999</v>
      </c>
      <c r="BH20" s="10">
        <v>292.78625349999987</v>
      </c>
      <c r="BI20" s="10">
        <v>295.71666349999998</v>
      </c>
      <c r="BJ20" s="10">
        <v>298.7302095</v>
      </c>
      <c r="BK20" s="10">
        <v>301.84422549999999</v>
      </c>
      <c r="BL20" s="10">
        <v>304.97033249999993</v>
      </c>
      <c r="BM20" s="10">
        <v>308.02345450000001</v>
      </c>
      <c r="BN20" s="10">
        <v>311.06279000000001</v>
      </c>
      <c r="BO20" s="10">
        <v>314.10507799999988</v>
      </c>
      <c r="BP20" s="10">
        <v>317.11535449999991</v>
      </c>
      <c r="BQ20" s="10">
        <v>320.11075899999997</v>
      </c>
      <c r="BR20" s="10">
        <v>323.11537700000002</v>
      </c>
      <c r="BS20" s="10">
        <v>326.12649649999997</v>
      </c>
      <c r="BT20" s="10">
        <v>329.17942649999992</v>
      </c>
      <c r="BU20" s="10">
        <v>332.20465949999999</v>
      </c>
      <c r="BV20" s="10">
        <v>335.05649749999998</v>
      </c>
      <c r="BW20" s="10">
        <v>337.79006650000002</v>
      </c>
      <c r="BX20" s="10">
        <v>339.43615849999998</v>
      </c>
      <c r="BY20" s="10">
        <v>340.16144100000002</v>
      </c>
      <c r="BZ20" s="10">
        <v>341.53404549999999</v>
      </c>
      <c r="CA20" s="10">
        <v>343.47733499999998</v>
      </c>
      <c r="CB20" s="10">
        <v>345.42657100000002</v>
      </c>
      <c r="CC20" s="10">
        <v>347.27580749999998</v>
      </c>
    </row>
    <row r="21" spans="1:81" x14ac:dyDescent="0.45">
      <c r="B21" t="s">
        <v>19</v>
      </c>
    </row>
    <row r="22" spans="1:81" x14ac:dyDescent="0.45">
      <c r="B22" t="s">
        <v>36</v>
      </c>
      <c r="AY22" s="26">
        <f>AY11/(AY9+AY11)</f>
        <v>0.41780670874262865</v>
      </c>
      <c r="AZ22" s="26">
        <f t="shared" ref="AZ22:BX22" si="2">AZ11/(AZ9+AZ11)</f>
        <v>0.41344671824787521</v>
      </c>
      <c r="BA22" s="26">
        <f t="shared" si="2"/>
        <v>0.40183678650953508</v>
      </c>
      <c r="BB22" s="26">
        <f t="shared" si="2"/>
        <v>0.37794723032062938</v>
      </c>
      <c r="BC22" s="26">
        <f t="shared" si="2"/>
        <v>0.37454704882442436</v>
      </c>
      <c r="BD22" s="26">
        <f t="shared" si="2"/>
        <v>0.3781131583408649</v>
      </c>
      <c r="BE22" s="26">
        <f t="shared" si="2"/>
        <v>0.38642335743587108</v>
      </c>
      <c r="BF22" s="26">
        <f t="shared" si="2"/>
        <v>0.39496263039348295</v>
      </c>
      <c r="BG22" s="26">
        <f t="shared" si="2"/>
        <v>0.41940228950316666</v>
      </c>
      <c r="BH22" s="26">
        <f t="shared" si="2"/>
        <v>0.44463516733858549</v>
      </c>
      <c r="BI22" s="26">
        <f t="shared" si="2"/>
        <v>0.44981599618585455</v>
      </c>
      <c r="BJ22" s="26">
        <f t="shared" si="2"/>
        <v>0.43430022701422138</v>
      </c>
      <c r="BK22" s="26">
        <f t="shared" si="2"/>
        <v>0.41391637954575061</v>
      </c>
      <c r="BL22" s="26">
        <f t="shared" si="2"/>
        <v>0.43529943488427419</v>
      </c>
      <c r="BM22" s="26">
        <f t="shared" si="2"/>
        <v>0.45440324737943438</v>
      </c>
      <c r="BN22" s="26">
        <f t="shared" si="2"/>
        <v>0.45197571818318794</v>
      </c>
      <c r="BO22" s="26">
        <f t="shared" si="2"/>
        <v>0.44463279938418204</v>
      </c>
      <c r="BP22" s="26">
        <f t="shared" si="2"/>
        <v>0.43182528180677421</v>
      </c>
      <c r="BQ22" s="26">
        <f t="shared" si="2"/>
        <v>0.42660002688442067</v>
      </c>
      <c r="BR22" s="26">
        <f t="shared" si="2"/>
        <v>0.41510882521516967</v>
      </c>
      <c r="BS22" s="26">
        <f t="shared" si="2"/>
        <v>0.396921411390878</v>
      </c>
      <c r="BT22" s="26">
        <f t="shared" si="2"/>
        <v>0.38822012412321949</v>
      </c>
      <c r="BU22" s="26">
        <f t="shared" si="2"/>
        <v>0.37699516228790636</v>
      </c>
      <c r="BV22" s="26">
        <f t="shared" si="2"/>
        <v>0.39207210677215615</v>
      </c>
      <c r="BW22" s="26">
        <f t="shared" si="2"/>
        <v>0.39220375298923954</v>
      </c>
      <c r="BX22" s="26">
        <f t="shared" si="2"/>
        <v>0.38044771464728722</v>
      </c>
    </row>
  </sheetData>
  <mergeCells count="1">
    <mergeCell ref="A2:A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C166C6-9E35-4317-9249-31AF68C05A40}">
  <dimension ref="A1:H25"/>
  <sheetViews>
    <sheetView workbookViewId="0">
      <pane xSplit="3" ySplit="5" topLeftCell="D6" activePane="bottomRight" state="frozen"/>
      <selection pane="topRight" activeCell="C1" sqref="C1"/>
      <selection pane="bottomLeft" activeCell="A4" sqref="A4"/>
      <selection pane="bottomRight" activeCell="B22" sqref="B22:C25"/>
    </sheetView>
  </sheetViews>
  <sheetFormatPr defaultRowHeight="14.25" x14ac:dyDescent="0.45"/>
  <cols>
    <col min="1" max="1" width="3.9296875" customWidth="1"/>
    <col min="2" max="2" width="10.3984375" customWidth="1"/>
    <col min="3" max="3" width="54.73046875" customWidth="1"/>
    <col min="4" max="4" width="11.265625" customWidth="1"/>
    <col min="5" max="5" width="1.3984375" customWidth="1"/>
    <col min="6" max="6" width="12.796875" customWidth="1"/>
    <col min="7" max="7" width="1.59765625" customWidth="1"/>
    <col min="8" max="8" width="11.53125" customWidth="1"/>
  </cols>
  <sheetData>
    <row r="1" spans="1:8" ht="14.65" thickBot="1" x14ac:dyDescent="0.5"/>
    <row r="2" spans="1:8" ht="24" thickTop="1" thickBot="1" x14ac:dyDescent="0.75">
      <c r="A2" s="51" t="s">
        <v>60</v>
      </c>
      <c r="B2" s="52"/>
      <c r="C2" s="52"/>
      <c r="D2" s="52"/>
      <c r="E2" s="52"/>
      <c r="F2" s="52"/>
      <c r="G2" s="52"/>
      <c r="H2" s="53"/>
    </row>
    <row r="3" spans="1:8" ht="14.65" thickBot="1" x14ac:dyDescent="0.5">
      <c r="A3" s="34"/>
      <c r="B3" s="1" t="s">
        <v>0</v>
      </c>
      <c r="C3" s="33" t="s">
        <v>61</v>
      </c>
      <c r="D3" s="54" t="s">
        <v>64</v>
      </c>
      <c r="E3" s="55"/>
      <c r="F3" s="55"/>
      <c r="G3" s="55"/>
      <c r="H3" s="56"/>
    </row>
    <row r="4" spans="1:8" x14ac:dyDescent="0.45">
      <c r="A4" s="27"/>
      <c r="B4" s="57" t="s">
        <v>58</v>
      </c>
      <c r="C4" s="35" t="s">
        <v>62</v>
      </c>
      <c r="D4" s="59" t="s">
        <v>46</v>
      </c>
      <c r="E4" s="60" t="s">
        <v>45</v>
      </c>
      <c r="F4" s="61" t="s">
        <v>47</v>
      </c>
      <c r="G4" s="63" t="s">
        <v>48</v>
      </c>
      <c r="H4" s="59" t="s">
        <v>53</v>
      </c>
    </row>
    <row r="5" spans="1:8" x14ac:dyDescent="0.45">
      <c r="A5" s="27"/>
      <c r="B5" s="58"/>
      <c r="C5" s="35" t="s">
        <v>63</v>
      </c>
      <c r="D5" s="44"/>
      <c r="E5" s="60"/>
      <c r="F5" s="62"/>
      <c r="G5" s="60"/>
      <c r="H5" s="44"/>
    </row>
    <row r="6" spans="1:8" x14ac:dyDescent="0.45">
      <c r="A6" s="46" t="s">
        <v>49</v>
      </c>
      <c r="B6" s="23" t="s">
        <v>37</v>
      </c>
      <c r="C6" s="36" t="s">
        <v>22</v>
      </c>
      <c r="D6" s="44" t="s">
        <v>51</v>
      </c>
      <c r="F6" s="47" t="s">
        <v>52</v>
      </c>
      <c r="H6" s="49" t="s">
        <v>54</v>
      </c>
    </row>
    <row r="7" spans="1:8" x14ac:dyDescent="0.45">
      <c r="A7" s="46"/>
      <c r="B7" s="28" t="s">
        <v>56</v>
      </c>
      <c r="C7" s="37" t="s">
        <v>57</v>
      </c>
      <c r="D7" s="44"/>
      <c r="F7" s="47"/>
      <c r="H7" s="49"/>
    </row>
    <row r="8" spans="1:8" x14ac:dyDescent="0.45">
      <c r="A8" s="46"/>
      <c r="B8" s="20" t="s">
        <v>38</v>
      </c>
      <c r="C8" s="38" t="s">
        <v>23</v>
      </c>
      <c r="D8" s="44"/>
      <c r="F8" s="47"/>
      <c r="H8" s="49"/>
    </row>
    <row r="9" spans="1:8" x14ac:dyDescent="0.45">
      <c r="A9" s="46"/>
      <c r="B9" s="20" t="s">
        <v>39</v>
      </c>
      <c r="C9" s="38" t="s">
        <v>25</v>
      </c>
      <c r="D9" s="44"/>
      <c r="F9" s="47"/>
      <c r="H9" s="49"/>
    </row>
    <row r="10" spans="1:8" x14ac:dyDescent="0.45">
      <c r="A10" s="46"/>
      <c r="B10" s="20" t="s">
        <v>40</v>
      </c>
      <c r="C10" s="38" t="s">
        <v>26</v>
      </c>
      <c r="D10" s="44"/>
      <c r="F10" s="47"/>
      <c r="H10" s="49"/>
    </row>
    <row r="11" spans="1:8" x14ac:dyDescent="0.45">
      <c r="A11" s="46"/>
      <c r="B11" s="29" t="s">
        <v>41</v>
      </c>
      <c r="C11" s="39" t="s">
        <v>16</v>
      </c>
      <c r="D11" s="44"/>
      <c r="F11" s="47"/>
      <c r="H11" s="49"/>
    </row>
    <row r="12" spans="1:8" x14ac:dyDescent="0.45">
      <c r="A12" s="46"/>
      <c r="B12" s="30" t="s">
        <v>42</v>
      </c>
      <c r="C12" s="40" t="s">
        <v>55</v>
      </c>
      <c r="D12" s="44"/>
      <c r="F12" s="47"/>
      <c r="H12" s="49"/>
    </row>
    <row r="13" spans="1:8" x14ac:dyDescent="0.45">
      <c r="A13" s="46"/>
      <c r="B13" s="30" t="s">
        <v>43</v>
      </c>
      <c r="C13" s="40" t="s">
        <v>28</v>
      </c>
      <c r="D13" s="44"/>
      <c r="F13" s="47"/>
      <c r="H13" s="49"/>
    </row>
    <row r="14" spans="1:8" x14ac:dyDescent="0.45">
      <c r="A14" s="46"/>
      <c r="B14" s="30" t="s">
        <v>44</v>
      </c>
      <c r="C14" s="40" t="s">
        <v>27</v>
      </c>
      <c r="D14" s="44"/>
      <c r="F14" s="47"/>
      <c r="H14" s="49"/>
    </row>
    <row r="15" spans="1:8" x14ac:dyDescent="0.45">
      <c r="A15" s="27"/>
      <c r="B15" s="20"/>
      <c r="C15" s="38"/>
      <c r="D15" s="44"/>
      <c r="F15" s="47"/>
      <c r="H15" s="49"/>
    </row>
    <row r="16" spans="1:8" ht="18.399999999999999" customHeight="1" x14ac:dyDescent="0.45">
      <c r="A16" s="66" t="s">
        <v>50</v>
      </c>
      <c r="B16" s="23" t="s">
        <v>31</v>
      </c>
      <c r="C16" s="41" t="s">
        <v>30</v>
      </c>
      <c r="D16" s="44"/>
      <c r="F16" s="47"/>
      <c r="H16" s="49"/>
    </row>
    <row r="17" spans="1:8" x14ac:dyDescent="0.45">
      <c r="A17" s="66"/>
      <c r="B17" s="22" t="s">
        <v>32</v>
      </c>
      <c r="C17" s="42" t="s">
        <v>20</v>
      </c>
      <c r="D17" s="44"/>
      <c r="F17" s="47"/>
      <c r="H17" s="49"/>
    </row>
    <row r="18" spans="1:8" x14ac:dyDescent="0.45">
      <c r="A18" s="66"/>
      <c r="B18" s="22" t="s">
        <v>33</v>
      </c>
      <c r="C18" s="42" t="s">
        <v>21</v>
      </c>
      <c r="D18" s="44"/>
      <c r="F18" s="47"/>
      <c r="H18" s="49"/>
    </row>
    <row r="19" spans="1:8" ht="22.25" customHeight="1" thickBot="1" x14ac:dyDescent="0.5">
      <c r="A19" s="67"/>
      <c r="B19" s="31" t="s">
        <v>34</v>
      </c>
      <c r="C19" s="43" t="s">
        <v>59</v>
      </c>
      <c r="D19" s="45"/>
      <c r="E19" s="32"/>
      <c r="F19" s="48"/>
      <c r="G19" s="32"/>
      <c r="H19" s="50"/>
    </row>
    <row r="20" spans="1:8" ht="14.65" thickTop="1" x14ac:dyDescent="0.45"/>
    <row r="22" spans="1:8" x14ac:dyDescent="0.45">
      <c r="B22" s="68" t="s">
        <v>65</v>
      </c>
      <c r="C22" s="68" t="s">
        <v>66</v>
      </c>
    </row>
    <row r="23" spans="1:8" x14ac:dyDescent="0.45">
      <c r="B23" s="68" t="s">
        <v>67</v>
      </c>
      <c r="C23" s="69" t="s">
        <v>68</v>
      </c>
    </row>
    <row r="24" spans="1:8" x14ac:dyDescent="0.45">
      <c r="B24" s="68" t="s">
        <v>69</v>
      </c>
      <c r="C24" s="70" t="s">
        <v>70</v>
      </c>
    </row>
    <row r="25" spans="1:8" x14ac:dyDescent="0.45">
      <c r="B25" s="68" t="s">
        <v>71</v>
      </c>
      <c r="C25" s="71" t="s">
        <v>72</v>
      </c>
    </row>
  </sheetData>
  <mergeCells count="13">
    <mergeCell ref="A2:H2"/>
    <mergeCell ref="D3:H3"/>
    <mergeCell ref="B4:B5"/>
    <mergeCell ref="D4:D5"/>
    <mergeCell ref="E4:E5"/>
    <mergeCell ref="F4:F5"/>
    <mergeCell ref="G4:G5"/>
    <mergeCell ref="H4:H5"/>
    <mergeCell ref="D6:D19"/>
    <mergeCell ref="A6:A14"/>
    <mergeCell ref="A16:A19"/>
    <mergeCell ref="F6:F19"/>
    <mergeCell ref="H6:H19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DF7E1D-B67C-4494-83E7-1701CC49DC94}">
  <dimension ref="B3:C6"/>
  <sheetViews>
    <sheetView tabSelected="1" workbookViewId="0">
      <selection activeCell="B3" sqref="B3:C6"/>
    </sheetView>
  </sheetViews>
  <sheetFormatPr defaultRowHeight="14.25" x14ac:dyDescent="0.45"/>
  <sheetData>
    <row r="3" spans="2:3" x14ac:dyDescent="0.45">
      <c r="B3" s="68" t="s">
        <v>65</v>
      </c>
      <c r="C3" s="68" t="s">
        <v>66</v>
      </c>
    </row>
    <row r="4" spans="2:3" x14ac:dyDescent="0.45">
      <c r="B4" s="68" t="s">
        <v>67</v>
      </c>
      <c r="C4" s="69" t="s">
        <v>68</v>
      </c>
    </row>
    <row r="5" spans="2:3" x14ac:dyDescent="0.45">
      <c r="B5" s="68" t="s">
        <v>69</v>
      </c>
      <c r="C5" s="70" t="s">
        <v>70</v>
      </c>
    </row>
    <row r="6" spans="2:3" x14ac:dyDescent="0.45">
      <c r="B6" s="68" t="s">
        <v>71</v>
      </c>
      <c r="C6" s="71" t="s">
        <v>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John O'Connor</dc:creator>
  <cp:lastModifiedBy>John O'Connor</cp:lastModifiedBy>
  <dcterms:created xsi:type="dcterms:W3CDTF">2026-04-20T16:50:44Z</dcterms:created>
  <dcterms:modified xsi:type="dcterms:W3CDTF">2026-04-22T11:08:38Z</dcterms:modified>
</cp:coreProperties>
</file>